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strucciones" sheetId="1" state="visible" r:id="rId1"/>
    <sheet name="01_Banco_preguntas" sheetId="2" state="visible" r:id="rId2"/>
    <sheet name="02_Ejecucion_V0" sheetId="3" state="visible" r:id="rId3"/>
    <sheet name="03_Ejecucion_V1" sheetId="4" state="visible" r:id="rId4"/>
    <sheet name="04_Comparativa" sheetId="5" state="visible" r:id="rId5"/>
    <sheet name="05_Panel" sheetId="6" state="visible" r:id="rId6"/>
  </sheets>
  <definedNames>
    <definedName name="_xlnm._FilterDatabase" localSheetId="1" hidden="1">'01_Banco_preguntas'!$A$1:$J$51</definedName>
    <definedName name="_xlnm._FilterDatabase" localSheetId="2" hidden="1">'02_Ejecucion_V0'!$A$1:$K$51</definedName>
    <definedName name="_xlnm._FilterDatabase" localSheetId="3" hidden="1">'03_Ejecucion_V1'!$A$1:$K$51</definedName>
    <definedName name="_xlnm._FilterDatabase" localSheetId="4" hidden="1">'04_Comparativa'!$A$1:$J$51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9"/>
    </font>
    <font>
      <name val="Arial"/>
      <b val="1"/>
      <color rgb="001F3864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3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49" fontId="5" fillId="0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49" fontId="5" fillId="0" borderId="1" applyAlignment="1" pivotButton="0" quotePrefix="0" xfId="0">
      <alignment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Protocolo de validacion de LucIA — banco de 50 preguntas</t>
        </is>
      </c>
    </row>
    <row r="3" ht="26" customHeight="1">
      <c r="B3" s="2" t="inlineStr">
        <is>
          <t>Ejecuta las reglas VAL-001, VAL-002 y VAL-003 del checklist, que quedaron FUERA_DE_ALCANCE en la auditoria auditoria_20260815_135308.xlsx (15 documentos, 34 reglas).</t>
        </is>
      </c>
    </row>
    <row r="5">
      <c r="B5" s="3" t="inlineStr">
        <is>
          <t>Para que sirve</t>
        </is>
      </c>
    </row>
    <row r="6" ht="26" customHeight="1">
      <c r="B6" s="4" t="inlineStr">
        <is>
          <t>El problema</t>
        </is>
      </c>
      <c r="C6" s="5" t="inlineStr">
        <is>
          <t>La auditoria mide la calidad de los PDFs, no las respuestas de LucIA. Sin una medicion de partida no se puede demostrar que los documentos corregidos mejoren nada.</t>
        </is>
      </c>
    </row>
    <row r="7" ht="26" customHeight="1">
      <c r="B7" s="4" t="inlineStr">
        <is>
          <t>La solucion</t>
        </is>
      </c>
      <c r="C7" s="5" t="inlineStr">
        <is>
          <t>Se lanzan las mismas 50 preguntas dos veces: V0 con el corpus actual (ANTES de subir nada) y V1 con el corpus corregido. La hoja 04 compara pregunta a pregunta.</t>
        </is>
      </c>
    </row>
    <row r="8" ht="26" customHeight="1">
      <c r="B8" s="4" t="inlineStr">
        <is>
          <t>Regla de oro</t>
        </is>
      </c>
      <c r="C8" s="5" t="inlineStr">
        <is>
          <t>V0 debe ejecutarse ANTES de subir ningun documento nuevo. Si se sube algo primero, la linea base se pierde y el retesting deja de ser comparable.</t>
        </is>
      </c>
    </row>
    <row r="10">
      <c r="B10" s="3" t="inlineStr">
        <is>
          <t>Como se usa</t>
        </is>
      </c>
    </row>
    <row r="11" ht="15" customHeight="1">
      <c r="B11" s="4" t="inlineStr">
        <is>
          <t>1. Congelar</t>
        </is>
      </c>
      <c r="C11" s="5" t="inlineStr">
        <is>
          <t>No tocar el corpus. Anotar en la celda C40 la fecha de ejecucion de V0.</t>
        </is>
      </c>
    </row>
    <row r="12" ht="26" customHeight="1">
      <c r="B12" s="4" t="inlineStr">
        <is>
          <t>2. Lanzar V0</t>
        </is>
      </c>
      <c r="C12" s="5" t="inlineStr">
        <is>
          <t>Copiar cada pregunta de la hoja 02 en LucIA, tal cual, en sesiones independientes (sin historial previo, para que una respuesta no contamine la siguiente).</t>
        </is>
      </c>
    </row>
    <row r="13" ht="15" customHeight="1">
      <c r="B13" s="4" t="inlineStr">
        <is>
          <t>3. Puntuar</t>
        </is>
      </c>
      <c r="C13" s="5" t="inlineStr">
        <is>
          <t>Rellenar SOLO las celdas amarillas de la hoja 02. El veredicto y los puntos se calculan solos.</t>
        </is>
      </c>
    </row>
    <row r="14" ht="15" customHeight="1">
      <c r="B14" s="4" t="inlineStr">
        <is>
          <t>4. Corregir</t>
        </is>
      </c>
      <c r="C14" s="5" t="inlineStr">
        <is>
          <t>Subir los documentos corregidos al corpus de LucIA.</t>
        </is>
      </c>
    </row>
    <row r="15" ht="15" customHeight="1">
      <c r="B15" s="4" t="inlineStr">
        <is>
          <t>5. Lanzar V1</t>
        </is>
      </c>
      <c r="C15" s="5" t="inlineStr">
        <is>
          <t>Repetir el proceso en la hoja 03, con las mismas 50 preguntas.</t>
        </is>
      </c>
    </row>
    <row r="16" ht="15" customHeight="1">
      <c r="B16" s="4" t="inlineStr">
        <is>
          <t>6. Comparar</t>
        </is>
      </c>
      <c r="C16" s="5" t="inlineStr">
        <is>
          <t>Las hojas 04 y 05 muestran la evolucion por pregunta, por categoria y por documento.</t>
        </is>
      </c>
    </row>
    <row r="18">
      <c r="B18" s="3" t="inlineStr">
        <is>
          <t>Que se puntua en cada pregunta</t>
        </is>
      </c>
    </row>
    <row r="19" ht="26" customHeight="1">
      <c r="B19" s="4" t="inlineStr">
        <is>
          <t>cita_ok  (VAL-002)</t>
        </is>
      </c>
      <c r="C19" s="5" t="inlineStr">
        <is>
          <t>SI = cita el documento esperado.  PARCIAL = lo cita junto a otros no pertinentes.  NO = cita un documento equivocado.  NO_CITA = responde sin citar fuente.</t>
        </is>
      </c>
    </row>
    <row r="20" ht="26" customHeight="1">
      <c r="B20" s="4" t="inlineStr">
        <is>
          <t>exactitud  (VAL-003)</t>
        </is>
      </c>
      <c r="C20" s="5" t="inlineStr">
        <is>
          <t>LITERAL = coincide con el contenido del documento.  PARCIAL = incompleta pero sin errores.  INVENTADA = afirma datos que no estan en la documentacion.  NO_RESPONDE = no contesta.</t>
        </is>
      </c>
    </row>
    <row r="21" ht="15" customHeight="1">
      <c r="B21" s="4" t="inlineStr">
        <is>
          <t>veredicto</t>
        </is>
      </c>
      <c r="C21" s="5" t="inlineStr">
        <is>
          <t>Se calcula: ACIERTO (1 pto) · PARCIAL (0,5) · FALLO (0) · SIN_RESPUESTA (0) · ALUCINACION (-1).</t>
        </is>
      </c>
    </row>
    <row r="22" ht="15" customHeight="1">
      <c r="B22" s="4" t="inlineStr">
        <is>
          <t>Por que -1</t>
        </is>
      </c>
      <c r="C22" s="5" t="inlineStr">
        <is>
          <t>Una alucinacion es peor que un silencio: el agente la traslada al cliente como si fuera cierta.</t>
        </is>
      </c>
    </row>
    <row r="24">
      <c r="B24" s="3" t="inlineStr">
        <is>
          <t>Las seis categorias del banco</t>
        </is>
      </c>
    </row>
    <row r="25" ht="26" customHeight="1">
      <c r="B25" s="4" t="inlineStr">
        <is>
          <t>A_DESAMBIGUACION (14)</t>
        </is>
      </c>
      <c r="C25" s="5" t="inlineStr">
        <is>
          <t>Productos vecinos que comparten vocabulario. Mide TAX-007/TAX-008/META-006, que fallan en los 15 documentos: ninguno tiene bloque "No confundir con".</t>
        </is>
      </c>
    </row>
    <row r="26" ht="15" customHeight="1">
      <c r="B26" s="4" t="inlineStr">
        <is>
          <t>B_SINONIMOS (12)</t>
        </is>
      </c>
      <c r="C26" s="5" t="inlineStr">
        <is>
          <t>Lenguaje coloquial real de los agentes. Mide TAX-010/META-007, que fallan en los 15.</t>
        </is>
      </c>
    </row>
    <row r="27" ht="26" customHeight="1">
      <c r="B27" s="4" t="inlineStr">
        <is>
          <t>C_TABLAS_PERDIDAS (8)</t>
        </is>
      </c>
      <c r="C27" s="5" t="inlineStr">
        <is>
          <t>Datos que viven en tablas y capturas que la extraccion de texto perdio. Aqui la respuesta correcta suele ser "no dispongo del dato": cualquier cifra concreta es alucinacion.</t>
        </is>
      </c>
    </row>
    <row r="28" ht="15" customHeight="1">
      <c r="B28" s="4" t="inlineStr">
        <is>
          <t>D_TRAMPA (6)</t>
        </is>
      </c>
      <c r="C28" s="5" t="inlineStr">
        <is>
          <t>Preguntas cuya respuesta correcta es una negativa o un "no consta". Detectan invencion.</t>
        </is>
      </c>
    </row>
    <row r="29" ht="26" customHeight="1">
      <c r="B29" s="4" t="inlineStr">
        <is>
          <t>E_LITERAL (8)</t>
        </is>
      </c>
      <c r="C29" s="5" t="inlineStr">
        <is>
          <t>Control positivo: datos que si constan literalmente. Un fallo aqui apunta a la recuperacion, no a la taxonomia.</t>
        </is>
      </c>
    </row>
    <row r="30" ht="15" customHeight="1">
      <c r="B30" s="4" t="inlineStr">
        <is>
          <t>F_TRAZABILIDAD (2)</t>
        </is>
      </c>
      <c r="C30" s="5" t="inlineStr">
        <is>
          <t>Normativa de origen. Mide META-009, que solo cumplen 2 de los 15 documentos.</t>
        </is>
      </c>
    </row>
    <row r="32">
      <c r="B32" s="3" t="inlineStr">
        <is>
          <t>Ejemplo de fila ya cumplimentada (hoja 02 o 03)</t>
        </is>
      </c>
    </row>
    <row r="33">
      <c r="B33" s="2" t="inlineStr">
        <is>
          <t>id</t>
        </is>
      </c>
      <c r="C33" s="5" t="inlineStr">
        <is>
          <t>D01</t>
        </is>
      </c>
    </row>
    <row r="34">
      <c r="B34" s="2" t="inlineStr">
        <is>
          <t>respuesta_de_lucia (E)</t>
        </is>
      </c>
      <c r="C34" s="5" t="inlineStr">
        <is>
          <t>Si, se tramita desde la Oficina del Instalador aportando el certificado de vulnerabilidad.</t>
        </is>
      </c>
    </row>
    <row r="35">
      <c r="B35" s="2" t="inlineStr">
        <is>
          <t>doc_citado (F)</t>
        </is>
      </c>
      <c r="C35" s="5" t="inlineStr">
        <is>
          <t>000001052 Bono Social</t>
        </is>
      </c>
    </row>
    <row r="36">
      <c r="B36" s="2" t="inlineStr">
        <is>
          <t>cita_ok (G)</t>
        </is>
      </c>
      <c r="C36" s="5" t="inlineStr">
        <is>
          <t>SI</t>
        </is>
      </c>
    </row>
    <row r="37">
      <c r="B37" s="2" t="inlineStr">
        <is>
          <t>exactitud (H)</t>
        </is>
      </c>
      <c r="C37" s="5" t="inlineStr">
        <is>
          <t>INVENTADA</t>
        </is>
      </c>
    </row>
    <row r="38">
      <c r="B38" s="2" t="inlineStr">
        <is>
          <t>-&gt; veredicto</t>
        </is>
      </c>
      <c r="C38" s="5" t="inlineStr">
        <is>
          <t>ALUCINACION</t>
        </is>
      </c>
    </row>
    <row r="39">
      <c r="B39" s="4" t="inlineStr">
        <is>
          <t>Fecha de ejecucion V0</t>
        </is>
      </c>
      <c r="C39" s="6" t="inlineStr">
        <is>
          <t>-1</t>
        </is>
      </c>
    </row>
    <row r="40" ht="26" customHeight="1">
      <c r="B40" s="7" t="inlineStr">
        <is>
          <t>Fecha de ejecucion V1</t>
        </is>
      </c>
      <c r="C40" s="6" t="inlineStr">
        <is>
          <t>Lectura: LucIA cita el documento correcto pero afirma que Fenie Energia puede tramitar el Bono Social. Cita bien y responde mal — el caso mas peligroso, y el que la auditoria documental no detecta.</t>
        </is>
      </c>
    </row>
    <row r="41">
      <c r="B41" s="7" t="inlineStr">
        <is>
          <t>Responsable</t>
        </is>
      </c>
      <c r="C41" s="8" t="n"/>
    </row>
    <row r="42">
      <c r="B42" s="3" t="inlineStr">
        <is>
          <t>Leyenda de formato</t>
        </is>
      </c>
    </row>
    <row r="43" ht="15" customHeight="1">
      <c r="B43" s="9" t="inlineStr">
        <is>
          <t>Origen de los datos</t>
        </is>
      </c>
      <c r="C43" s="5" t="inlineStr">
        <is>
          <t>Unicas celdas que debes rellenar a mano.</t>
        </is>
      </c>
    </row>
    <row r="44" ht="30" customHeight="1">
      <c r="B44" s="4" t="inlineStr">
        <is>
          <t>Fondo gris</t>
        </is>
      </c>
      <c r="C44" s="2" t="inlineStr">
        <is>
          <t>Las 50 preguntas se derivan de la evidencia textual citada en auditoria_20260815_135308.xlsx (hoja Reglas, columna evidencia) y de los metadatos RAG extraidos por documento. No hay preguntas inventadas al margen del corpus.</t>
        </is>
      </c>
    </row>
    <row r="45" ht="15" customHeight="1">
      <c r="B45" s="4" t="inlineStr">
        <is>
          <t>Sin fondo</t>
        </is>
      </c>
      <c r="C45" s="5" t="inlineStr">
        <is>
          <t>Datos de referencia del banco de preguntas.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52" customWidth="1" min="3" max="3"/>
    <col width="15" customWidth="1" min="4" max="4"/>
    <col width="34" customWidth="1" min="5" max="5"/>
    <col width="22" customWidth="1" min="6" max="6"/>
    <col width="62" customWidth="1" min="7" max="7"/>
    <col width="24" customWidth="1" min="8" max="8"/>
    <col width="52" customWidth="1" min="9" max="9"/>
    <col width="14" customWidth="1" min="10" max="10"/>
  </cols>
  <sheetData>
    <row r="1">
      <c r="A1" s="10" t="inlineStr">
        <is>
          <t>id</t>
        </is>
      </c>
      <c r="B1" s="10" t="inlineStr">
        <is>
          <t>categoria</t>
        </is>
      </c>
      <c r="C1" s="10" t="inlineStr">
        <is>
          <t>pregunta</t>
        </is>
      </c>
      <c r="D1" s="10" t="inlineStr">
        <is>
          <t>doc_esperado_id</t>
        </is>
      </c>
      <c r="E1" s="10" t="inlineStr">
        <is>
          <t>doc_esperado_nombre</t>
        </is>
      </c>
      <c r="F1" s="10" t="inlineStr">
        <is>
          <t>docs_implicados</t>
        </is>
      </c>
      <c r="G1" s="10" t="inlineStr">
        <is>
          <t>respuesta_correcta_esperada</t>
        </is>
      </c>
      <c r="H1" s="10" t="inlineStr">
        <is>
          <t>reglas_auditoria</t>
        </is>
      </c>
      <c r="I1" s="10" t="inlineStr">
        <is>
          <t>fallo_previsto</t>
        </is>
      </c>
      <c r="J1" s="10" t="inlineStr">
        <is>
          <t>clave_doc</t>
        </is>
      </c>
    </row>
    <row r="2" ht="46" customHeight="1">
      <c r="A2" s="11" t="inlineStr">
        <is>
          <t>A01</t>
        </is>
      </c>
      <c r="B2" s="11" t="inlineStr">
        <is>
          <t>A_DESAMBIGUACION</t>
        </is>
      </c>
      <c r="C2" s="11" t="inlineStr">
        <is>
          <t>Quiero cambiar solo la potencia contratada de un suministro, sin tocar la tarifa. Que procedimiento aplico?</t>
        </is>
      </c>
      <c r="D2" s="12" t="inlineStr">
        <is>
          <t>000001630</t>
        </is>
      </c>
      <c r="E2" s="11" t="inlineStr">
        <is>
          <t>Modificacion de potencias en electricidad</t>
        </is>
      </c>
      <c r="F2" s="11" t="inlineStr">
        <is>
          <t>000001630 / 000001631</t>
        </is>
      </c>
      <c r="G2" s="11" t="inlineStr">
        <is>
          <t>Debe citar el procedimiento de Modificacion de potencias (000001630), NO el de Modificacion de tarifa y potencias (000001631).</t>
        </is>
      </c>
      <c r="H2" s="11" t="inlineStr">
        <is>
          <t>TAX-007, TAX-008, META-006</t>
        </is>
      </c>
      <c r="I2" s="11" t="inlineStr">
        <is>
          <t>Cita 000001631 o mezcla ambos: ningun documento tiene bloque 'No confundir con'.</t>
        </is>
      </c>
      <c r="J2" s="13" t="inlineStr">
        <is>
          <t>D000001630</t>
        </is>
      </c>
    </row>
    <row r="3" ht="46" customHeight="1">
      <c r="A3" s="11" t="inlineStr">
        <is>
          <t>A02</t>
        </is>
      </c>
      <c r="B3" s="11" t="inlineStr">
        <is>
          <t>A_DESAMBIGUACION</t>
        </is>
      </c>
      <c r="C3" s="11" t="inlineStr">
        <is>
          <t>Necesito cambiar la tarifa y la potencia a la vez. Es el mismo tramite que cambiar solo la potencia?</t>
        </is>
      </c>
      <c r="D3" s="12" t="inlineStr">
        <is>
          <t>000001631</t>
        </is>
      </c>
      <c r="E3" s="11" t="inlineStr">
        <is>
          <t>Modificacion de tarifa y potencias en electricidad</t>
        </is>
      </c>
      <c r="F3" s="11" t="inlineStr">
        <is>
          <t>000001630 / 000001631</t>
        </is>
      </c>
      <c r="G3" s="11" t="inlineStr">
        <is>
          <t>NO. Existe un procedimiento propio 'Modificacion de tarifa y potencias' (000001631), distinto del de solo potencias (000001630).</t>
        </is>
      </c>
      <c r="H3" s="11" t="inlineStr">
        <is>
          <t>TAX-007, TAX-008</t>
        </is>
      </c>
      <c r="I3" s="11" t="inlineStr">
        <is>
          <t>Responde que si, o cita un unico documento sin advertir que son tramites distintos.</t>
        </is>
      </c>
      <c r="J3" s="13" t="inlineStr">
        <is>
          <t>D000001631</t>
        </is>
      </c>
    </row>
    <row r="4" ht="46" customHeight="1">
      <c r="A4" s="11" t="inlineStr">
        <is>
          <t>A03</t>
        </is>
      </c>
      <c r="B4" s="11" t="inlineStr">
        <is>
          <t>A_DESAMBIGUACION</t>
        </is>
      </c>
      <c r="C4" s="11" t="inlineStr">
        <is>
          <t>Que diferencia hay entre una modificacion de producto y una modificacion de tarifa?</t>
        </is>
      </c>
      <c r="D4" s="12" t="inlineStr">
        <is>
          <t>000001634</t>
        </is>
      </c>
      <c r="E4" s="11" t="inlineStr">
        <is>
          <t>Modificacion de producto</t>
        </is>
      </c>
      <c r="F4" s="11" t="inlineStr">
        <is>
          <t>000001634 / 000001631</t>
        </is>
      </c>
      <c r="G4" s="11" t="inlineStr">
        <is>
          <t>Producto = cambiar el producto contratado, via Modificaciones Administrativas (000001634). Tarifa y potencias = modificacion tecnica (000001631).</t>
        </is>
      </c>
      <c r="H4" s="11" t="inlineStr">
        <is>
          <t>TAX-007, TAX-008, META-006</t>
        </is>
      </c>
      <c r="I4" s="11" t="inlineStr">
        <is>
          <t>Mezcla ambos conceptos o inventa la diferencia.</t>
        </is>
      </c>
      <c r="J4" s="13" t="inlineStr">
        <is>
          <t>D000001634</t>
        </is>
      </c>
    </row>
    <row r="5" ht="46" customHeight="1">
      <c r="A5" s="11" t="inlineStr">
        <is>
          <t>A04</t>
        </is>
      </c>
      <c r="B5" s="11" t="inlineStr">
        <is>
          <t>A_DESAMBIGUACION</t>
        </is>
      </c>
      <c r="C5" s="11" t="inlineStr">
        <is>
          <t>Quiero cambiar la cuenta bancaria del cliente. Que modificacion uso?</t>
        </is>
      </c>
      <c r="D5" s="12" t="inlineStr">
        <is>
          <t>000008614</t>
        </is>
      </c>
      <c r="E5" s="11" t="inlineStr">
        <is>
          <t>Modificacion de los Datos de Facturacion</t>
        </is>
      </c>
      <c r="F5" s="11" t="inlineStr">
        <is>
          <t>000008614 / 000008619</t>
        </is>
      </c>
      <c r="G5" s="11" t="inlineStr">
        <is>
          <t>Datos de Facturacion (000008614): sirve para correo de facturacion, direccion postal, cuenta bancaria y metodo de pago.</t>
        </is>
      </c>
      <c r="H5" s="11" t="inlineStr">
        <is>
          <t>TAX-007, TAX-008</t>
        </is>
      </c>
      <c r="I5" s="11" t="inlineStr">
        <is>
          <t>Cita 000008619 'Datos de Contrato' por solapamiento de vocabulario.</t>
        </is>
      </c>
      <c r="J5" s="13" t="inlineStr">
        <is>
          <t>D000008614</t>
        </is>
      </c>
    </row>
    <row r="6" ht="46" customHeight="1">
      <c r="A6" s="11" t="inlineStr">
        <is>
          <t>A05</t>
        </is>
      </c>
      <c r="B6" s="11" t="inlineStr">
        <is>
          <t>A_DESAMBIGUACION</t>
        </is>
      </c>
      <c r="C6" s="11" t="inlineStr">
        <is>
          <t>Cambiar el telefono de contacto del punto de suministro es lo mismo que cambiar el telefono de contratacion?</t>
        </is>
      </c>
      <c r="D6" s="12" t="inlineStr">
        <is>
          <t>000008617</t>
        </is>
      </c>
      <c r="E6" s="11" t="inlineStr">
        <is>
          <t>Modificacion de Datos de Contacto del Punto de Suministro</t>
        </is>
      </c>
      <c r="F6" s="11" t="inlineStr">
        <is>
          <t>000008617 / 000008619</t>
        </is>
      </c>
      <c r="G6" s="11" t="inlineStr">
        <is>
          <t>NO. Punto de suministro = 000008617. Telefono de contratacion = Datos de Contrato (000008619).</t>
        </is>
      </c>
      <c r="H6" s="11" t="inlineStr">
        <is>
          <t>TAX-007, TAX-008</t>
        </is>
      </c>
      <c r="I6" s="11" t="inlineStr">
        <is>
          <t>Confunde los dos documentos: ambos hablan de 'telefono' sin desambiguar.</t>
        </is>
      </c>
      <c r="J6" s="13" t="inlineStr">
        <is>
          <t>D000008617</t>
        </is>
      </c>
    </row>
    <row r="7" ht="46" customHeight="1">
      <c r="A7" s="11" t="inlineStr">
        <is>
          <t>A06</t>
        </is>
      </c>
      <c r="B7" s="11" t="inlineStr">
        <is>
          <t>A_DESAMBIGUACION</t>
        </is>
      </c>
      <c r="C7" s="11" t="inlineStr">
        <is>
          <t>Donde cambio el correo al que se le envia la factura al cliente?</t>
        </is>
      </c>
      <c r="D7" s="12" t="inlineStr">
        <is>
          <t>000008614</t>
        </is>
      </c>
      <c r="E7" s="11" t="inlineStr">
        <is>
          <t>Modificacion de los Datos de Facturacion</t>
        </is>
      </c>
      <c r="F7" s="11" t="inlineStr">
        <is>
          <t>000008614 / 000008619</t>
        </is>
      </c>
      <c r="G7" s="11" t="inlineStr">
        <is>
          <t>Datos de Facturacion (000008614): 'cambiar el correo de facturacion, o anadir un segundo correo'. NO es el correo de contratacion (000008619).</t>
        </is>
      </c>
      <c r="H7" s="11" t="inlineStr">
        <is>
          <t>TAX-007, TAX-008</t>
        </is>
      </c>
      <c r="I7" s="11" t="inlineStr">
        <is>
          <t>Cita 000008619, que tambien gestiona un correo (el de contratacion).</t>
        </is>
      </c>
      <c r="J7" s="13" t="inlineStr">
        <is>
          <t>D000008614</t>
        </is>
      </c>
    </row>
    <row r="8" ht="46" customHeight="1">
      <c r="A8" s="11" t="inlineStr">
        <is>
          <t>A07</t>
        </is>
      </c>
      <c r="B8" s="11" t="inlineStr">
        <is>
          <t>A_DESAMBIGUACION</t>
        </is>
      </c>
      <c r="C8" s="11" t="inlineStr">
        <is>
          <t>El cliente es una comunidad de propietarios y ha cambiado el presidente. Hago un cambio de titular o una modificacion de representante?</t>
        </is>
      </c>
      <c r="D8" s="12" t="inlineStr">
        <is>
          <t>000008616</t>
        </is>
      </c>
      <c r="E8" s="11" t="inlineStr">
        <is>
          <t>Modificacion de datos del representante</t>
        </is>
      </c>
      <c r="F8" s="11" t="inlineStr">
        <is>
          <t>000008616 / 000001633</t>
        </is>
      </c>
      <c r="G8" s="11" t="inlineStr">
        <is>
          <t>Modificacion de datos del representante (000008616), que aplica expresamente a empresas y comunidades de propietarios. NO cambio de titular.</t>
        </is>
      </c>
      <c r="H8" s="11" t="inlineStr">
        <is>
          <t>TAX-007, TAX-008, META-006</t>
        </is>
      </c>
      <c r="I8" s="11" t="inlineStr">
        <is>
          <t>Cita 000001633 (cambio de titular) por la palabra clave compartida 'titular'.</t>
        </is>
      </c>
      <c r="J8" s="13" t="inlineStr">
        <is>
          <t>D000008616</t>
        </is>
      </c>
    </row>
    <row r="9" ht="46" customHeight="1">
      <c r="A9" s="11" t="inlineStr">
        <is>
          <t>A08</t>
        </is>
      </c>
      <c r="B9" s="11" t="inlineStr">
        <is>
          <t>A_DESAMBIGUACION</t>
        </is>
      </c>
      <c r="C9" s="11" t="inlineStr">
        <is>
          <t>Que diferencia hay entre cambiar el titular de un contrato y cambiar el representante?</t>
        </is>
      </c>
      <c r="D9" s="12" t="inlineStr">
        <is>
          <t>000001633</t>
        </is>
      </c>
      <c r="E9" s="11" t="inlineStr">
        <is>
          <t>Cambio de titular en electricidad y gas</t>
        </is>
      </c>
      <c r="F9" s="11" t="inlineStr">
        <is>
          <t>000001633 / 000008616</t>
        </is>
      </c>
      <c r="G9" s="11" t="inlineStr">
        <is>
          <t>Titular = la persona/empresa que contrata (000001633). Representante = quien firma en su nombre (000008616), requiere DNI/NIE del nuevo representante.</t>
        </is>
      </c>
      <c r="H9" s="11" t="inlineStr">
        <is>
          <t>TAX-007, TAX-008</t>
        </is>
      </c>
      <c r="I9" s="11" t="inlineStr">
        <is>
          <t>No sabe distinguirlos: ninguno de los dos PDFs explica la diferencia.</t>
        </is>
      </c>
      <c r="J9" s="13" t="inlineStr">
        <is>
          <t>D000001633</t>
        </is>
      </c>
    </row>
    <row r="10" ht="46" customHeight="1">
      <c r="A10" s="11" t="inlineStr">
        <is>
          <t>A09</t>
        </is>
      </c>
      <c r="B10" s="11" t="inlineStr">
        <is>
          <t>A_DESAMBIGUACION</t>
        </is>
      </c>
      <c r="C10" s="11" t="inlineStr">
        <is>
          <t>Monedero Solar y autoconsumo son lo mismo?</t>
        </is>
      </c>
      <c r="D10" s="12" t="inlineStr">
        <is>
          <t>000008620</t>
        </is>
      </c>
      <c r="E10" s="11" t="inlineStr">
        <is>
          <t>Monedero Solar</t>
        </is>
      </c>
      <c r="F10" s="11" t="inlineStr">
        <is>
          <t>000008620 / 000008621</t>
        </is>
      </c>
      <c r="G10" s="11" t="inlineStr">
        <is>
          <t>NO. Autoconsumo (000008621) = activar la modalidad de autoconsumo en el contrato. Monedero Solar (000008620) = servicio que acumula en euros el saldo de excedentes NO compensados.</t>
        </is>
      </c>
      <c r="H10" s="11" t="inlineStr">
        <is>
          <t>TAX-007, TAX-008, META-006</t>
        </is>
      </c>
      <c r="I10" s="11" t="inlineStr">
        <is>
          <t>Los trata como sinonimos. El propio informe marca Monedero Solar como 'producto vecino' de autoconsumo.</t>
        </is>
      </c>
      <c r="J10" s="13" t="inlineStr">
        <is>
          <t>D000008620</t>
        </is>
      </c>
    </row>
    <row r="11" ht="46" customHeight="1">
      <c r="A11" s="11" t="inlineStr">
        <is>
          <t>A10</t>
        </is>
      </c>
      <c r="B11" s="11" t="inlineStr">
        <is>
          <t>A_DESAMBIGUACION</t>
        </is>
      </c>
      <c r="C11" s="11" t="inlineStr">
        <is>
          <t>El cliente tiene placas y le sobra energia que no se le compensa en la factura. Que le activo?</t>
        </is>
      </c>
      <c r="D11" s="12" t="inlineStr">
        <is>
          <t>000008620</t>
        </is>
      </c>
      <c r="E11" s="11" t="inlineStr">
        <is>
          <t>Monedero Solar</t>
        </is>
      </c>
      <c r="F11" s="11" t="inlineStr">
        <is>
          <t>000008620 / 000008621</t>
        </is>
      </c>
      <c r="G11" s="11" t="inlineStr">
        <is>
          <t>Monedero Solar (000008620): acumula el saldo sobrante de los excedentes no compensados en euros y se aplica despues de impuestos al resto de conceptos de la factura.</t>
        </is>
      </c>
      <c r="H11" s="11" t="inlineStr">
        <is>
          <t>TAX-007, TAX-008</t>
        </is>
      </c>
      <c r="I11" s="11" t="inlineStr">
        <is>
          <t>Cita autoconsumo (000008621) en lugar de Monedero Solar.</t>
        </is>
      </c>
      <c r="J11" s="13" t="inlineStr">
        <is>
          <t>D000008620</t>
        </is>
      </c>
    </row>
    <row r="12" ht="46" customHeight="1">
      <c r="A12" s="11" t="inlineStr">
        <is>
          <t>A11</t>
        </is>
      </c>
      <c r="B12" s="11" t="inlineStr">
        <is>
          <t>A_DESAMBIGUACION</t>
        </is>
      </c>
      <c r="C12" s="11" t="inlineStr">
        <is>
          <t>Modificar el maximetro es lo mismo que modificar la potencia contratada?</t>
        </is>
      </c>
      <c r="D12" s="12" t="inlineStr">
        <is>
          <t>000008622</t>
        </is>
      </c>
      <c r="E12" s="11" t="inlineStr">
        <is>
          <t>Modificacion de Maximetro</t>
        </is>
      </c>
      <c r="F12" s="11" t="inlineStr">
        <is>
          <t>000008622 / 000001630</t>
        </is>
      </c>
      <c r="G12" s="11" t="inlineStr">
        <is>
          <t>NO. Son dos modificaciones tecnicas distintas: Maximetro (000008622) y Modificacion de potencias (000001630). Ambas de ATR.</t>
        </is>
      </c>
      <c r="H12" s="11" t="inlineStr">
        <is>
          <t>TAX-007, TAX-008</t>
        </is>
      </c>
      <c r="I12" s="11" t="inlineStr">
        <is>
          <t>Los funde: ambos son 'modificaciones tecnicas' del departamento ATR.</t>
        </is>
      </c>
      <c r="J12" s="13" t="inlineStr">
        <is>
          <t>D000008622</t>
        </is>
      </c>
    </row>
    <row r="13" ht="46" customHeight="1">
      <c r="A13" s="11" t="inlineStr">
        <is>
          <t>A12</t>
        </is>
      </c>
      <c r="B13" s="11" t="inlineStr">
        <is>
          <t>A_DESAMBIGUACION</t>
        </is>
      </c>
      <c r="C13" s="11" t="inlineStr">
        <is>
          <t>El contador es propiedad del cliente y quiere pasarlo a la distribuidora. Que tramite corresponde?</t>
        </is>
      </c>
      <c r="D13" s="12" t="inlineStr">
        <is>
          <t>000008623</t>
        </is>
      </c>
      <c r="E13" s="11" t="inlineStr">
        <is>
          <t>Modificacion de Propiedad del Contador</t>
        </is>
      </c>
      <c r="F13" s="11" t="inlineStr">
        <is>
          <t>000008623 / 000008622</t>
        </is>
      </c>
      <c r="G13" s="11" t="inlineStr">
        <is>
          <t>Modificacion de Propiedad del Contador (000008623). Del cliente a la Distribuidora exige documentacion especifica.</t>
        </is>
      </c>
      <c r="H13" s="11" t="inlineStr">
        <is>
          <t>TAX-007, TAX-008</t>
        </is>
      </c>
      <c r="I13" s="11" t="inlineStr">
        <is>
          <t>Cita Maximetro (000008622) por proximidad tematica (equipo de medida).</t>
        </is>
      </c>
      <c r="J13" s="13" t="inlineStr">
        <is>
          <t>D000008623</t>
        </is>
      </c>
    </row>
    <row r="14" ht="46" customHeight="1">
      <c r="A14" s="11" t="inlineStr">
        <is>
          <t>A13</t>
        </is>
      </c>
      <c r="B14" s="11" t="inlineStr">
        <is>
          <t>A_DESAMBIGUACION</t>
        </is>
      </c>
      <c r="C14" s="11" t="inlineStr">
        <is>
          <t>Quiero que al cliente se le cobre siempre el mismo dia del mes. Es una modificacion de datos de facturacion?</t>
        </is>
      </c>
      <c r="D14" s="12" t="inlineStr">
        <is>
          <t>000008618</t>
        </is>
      </c>
      <c r="E14" s="11" t="inlineStr">
        <is>
          <t>Modificacion de Remesa Fija</t>
        </is>
      </c>
      <c r="F14" s="11" t="inlineStr">
        <is>
          <t>000008618 / 000008614</t>
        </is>
      </c>
      <c r="G14" s="11" t="inlineStr">
        <is>
          <t>NO. Es Remesa Fija (000008618). Datos de Facturacion (000008614) cambia el medio de pago y la cuenta, no el dia de cobro.</t>
        </is>
      </c>
      <c r="H14" s="11" t="inlineStr">
        <is>
          <t>TAX-007, TAX-008</t>
        </is>
      </c>
      <c r="I14" s="11" t="inlineStr">
        <is>
          <t>Cita 000008614: ambos documentos giran sobre 'como y cuando se cobra'.</t>
        </is>
      </c>
      <c r="J14" s="13" t="inlineStr">
        <is>
          <t>D000008618</t>
        </is>
      </c>
    </row>
    <row r="15" ht="46" customHeight="1">
      <c r="A15" s="11" t="inlineStr">
        <is>
          <t>A14</t>
        </is>
      </c>
      <c r="B15" s="11" t="inlineStr">
        <is>
          <t>A_DESAMBIGUACION</t>
        </is>
      </c>
      <c r="C15" s="11" t="inlineStr">
        <is>
          <t>Que diferencia hay entre el Acuerdo Marco de Colaboracion de Empresa Delegada y el Contrato Marco de Cesion de Facturas?</t>
        </is>
      </c>
      <c r="D15" s="12" t="inlineStr">
        <is>
          <t>000004627</t>
        </is>
      </c>
      <c r="E15" s="11" t="inlineStr">
        <is>
          <t>Acuerdo Marco de Colaboracion EDE - Fenie Energia</t>
        </is>
      </c>
      <c r="F15" s="11" t="inlineStr">
        <is>
          <t>000004627</t>
        </is>
      </c>
      <c r="G15" s="11" t="inlineStr">
        <is>
          <t>El Acuerdo Marco (000004627) regula la colaboracion comercial EDE-Fenie. El Contrato Marco de Cesion de Facturas es un documento distinto, citado como vecino en el propio Acuerdo.</t>
        </is>
      </c>
      <c r="H15" s="11" t="inlineStr">
        <is>
          <t>TAX-007, TAX-008, META-006</t>
        </is>
      </c>
      <c r="I15" s="11" t="inlineStr">
        <is>
          <t>Confunde ambos contratos o afirma que son el mismo.</t>
        </is>
      </c>
      <c r="J15" s="13" t="inlineStr">
        <is>
          <t>D000004627</t>
        </is>
      </c>
    </row>
    <row r="16" ht="46" customHeight="1">
      <c r="A16" s="11" t="inlineStr">
        <is>
          <t>B01</t>
        </is>
      </c>
      <c r="B16" s="11" t="inlineStr">
        <is>
          <t>B_SINONIMOS</t>
        </is>
      </c>
      <c r="C16" s="11" t="inlineStr">
        <is>
          <t>Como le bajo la luz a un cliente que dice que paga mucho de fijo?</t>
        </is>
      </c>
      <c r="D16" s="12" t="inlineStr">
        <is>
          <t>000001630</t>
        </is>
      </c>
      <c r="E16" s="11" t="inlineStr">
        <is>
          <t>Modificacion de potencias en electricidad</t>
        </is>
      </c>
      <c r="F16" s="11" t="inlineStr">
        <is>
          <t>000001630</t>
        </is>
      </c>
      <c r="G16" s="11" t="inlineStr">
        <is>
          <t>'Bajar la luz' = bajar la potencia contratada -&gt; Modificacion de potencias (000001630). Maximo una modificacion de potencia cada 12 meses.</t>
        </is>
      </c>
      <c r="H16" s="11" t="inlineStr">
        <is>
          <t>TAX-010, META-007</t>
        </is>
      </c>
      <c r="I16" s="11" t="inlineStr">
        <is>
          <t>No relaciona el coloquialismo con el procedimiento: ningun documento lista sinonimos de consulta.</t>
        </is>
      </c>
      <c r="J16" s="13" t="inlineStr">
        <is>
          <t>D000001630</t>
        </is>
      </c>
    </row>
    <row r="17" ht="46" customHeight="1">
      <c r="A17" s="11" t="inlineStr">
        <is>
          <t>B02</t>
        </is>
      </c>
      <c r="B17" s="11" t="inlineStr">
        <is>
          <t>B_SINONIMOS</t>
        </is>
      </c>
      <c r="C17" s="11" t="inlineStr">
        <is>
          <t>El cliente quiere poner el recibo a nombre de otra persona.</t>
        </is>
      </c>
      <c r="D17" s="12" t="inlineStr">
        <is>
          <t>000001633</t>
        </is>
      </c>
      <c r="E17" s="11" t="inlineStr">
        <is>
          <t>Cambio de titular en electricidad y gas</t>
        </is>
      </c>
      <c r="F17" s="11" t="inlineStr">
        <is>
          <t>000001633 / 000008614</t>
        </is>
      </c>
      <c r="G17" s="11" t="inlineStr">
        <is>
          <t>'Poner el recibo a otro nombre' = cambio de titular (000001633). No confundir con cambiar los datos de facturacion.</t>
        </is>
      </c>
      <c r="H17" s="11" t="inlineStr">
        <is>
          <t>TAX-010, META-007</t>
        </is>
      </c>
      <c r="I17" s="11" t="inlineStr">
        <is>
          <t>Cita datos de facturacion por la palabra 'recibo'.</t>
        </is>
      </c>
      <c r="J17" s="13" t="inlineStr">
        <is>
          <t>D000001633</t>
        </is>
      </c>
    </row>
    <row r="18" ht="46" customHeight="1">
      <c r="A18" s="11" t="inlineStr">
        <is>
          <t>B03</t>
        </is>
      </c>
      <c r="B18" s="11" t="inlineStr">
        <is>
          <t>B_SINONIMOS</t>
        </is>
      </c>
      <c r="C18" s="11" t="inlineStr">
        <is>
          <t>Quiero cambiar el numero de cuenta donde se pasa el recibo.</t>
        </is>
      </c>
      <c r="D18" s="12" t="inlineStr">
        <is>
          <t>000008614</t>
        </is>
      </c>
      <c r="E18" s="11" t="inlineStr">
        <is>
          <t>Modificacion de los Datos de Facturacion</t>
        </is>
      </c>
      <c r="F18" s="11" t="inlineStr">
        <is>
          <t>000008614</t>
        </is>
      </c>
      <c r="G18" s="11" t="inlineStr">
        <is>
          <t>Datos de Facturacion (000008614), que incluye expresamente la cuenta bancaria.</t>
        </is>
      </c>
      <c r="H18" s="11" t="inlineStr">
        <is>
          <t>TAX-010, META-007</t>
        </is>
      </c>
      <c r="I18" s="11" t="inlineStr">
        <is>
          <t>No mapea 'numero de cuenta' a 'cuenta bancaria' del procedimiento.</t>
        </is>
      </c>
      <c r="J18" s="13" t="inlineStr">
        <is>
          <t>D000008614</t>
        </is>
      </c>
    </row>
    <row r="19" ht="46" customHeight="1">
      <c r="A19" s="11" t="inlineStr">
        <is>
          <t>B04</t>
        </is>
      </c>
      <c r="B19" s="11" t="inlineStr">
        <is>
          <t>B_SINONIMOS</t>
        </is>
      </c>
      <c r="C19" s="11" t="inlineStr">
        <is>
          <t>Como pongo que a este cliente le pasen el recibo el dia 5 de cada mes?</t>
        </is>
      </c>
      <c r="D19" s="12" t="inlineStr">
        <is>
          <t>000008618</t>
        </is>
      </c>
      <c r="E19" s="11" t="inlineStr">
        <is>
          <t>Modificacion de Remesa Fija</t>
        </is>
      </c>
      <c r="F19" s="11" t="inlineStr">
        <is>
          <t>000008618</t>
        </is>
      </c>
      <c r="G19" s="11" t="inlineStr">
        <is>
          <t>Remesa Fija (000008618): permite elegir dia de cobro entre el 1 y el 28.</t>
        </is>
      </c>
      <c r="H19" s="11" t="inlineStr">
        <is>
          <t>TAX-010, META-007</t>
        </is>
      </c>
      <c r="I19" s="11" t="inlineStr">
        <is>
          <t>No reconoce 'que le pasen el recibo el dia X' como Remesa Fija.</t>
        </is>
      </c>
      <c r="J19" s="13" t="inlineStr">
        <is>
          <t>D000008618</t>
        </is>
      </c>
    </row>
    <row r="20" ht="46" customHeight="1">
      <c r="A20" s="11" t="inlineStr">
        <is>
          <t>B05</t>
        </is>
      </c>
      <c r="B20" s="11" t="inlineStr">
        <is>
          <t>B_SINONIMOS</t>
        </is>
      </c>
      <c r="C20" s="11" t="inlineStr">
        <is>
          <t>El cliente ha puesto placas solares. Que tengo que hacer en el contrato?</t>
        </is>
      </c>
      <c r="D20" s="12" t="inlineStr">
        <is>
          <t>000008621</t>
        </is>
      </c>
      <c r="E20" s="11" t="inlineStr">
        <is>
          <t>Modificacion de autoconsumo</t>
        </is>
      </c>
      <c r="F20" s="11" t="inlineStr">
        <is>
          <t>000008621 / 000008620</t>
        </is>
      </c>
      <c r="G20" s="11" t="inlineStr">
        <is>
          <t>Modificacion de autoconsumo (000008621). Opcionalmente, ofrecer Monedero Solar (000008620) para los excedentes no compensados.</t>
        </is>
      </c>
      <c r="H20" s="11" t="inlineStr">
        <is>
          <t>TAX-010, META-007</t>
        </is>
      </c>
      <c r="I20" s="11" t="inlineStr">
        <is>
          <t>No conecta 'placas solares' con 'autoconsumo'.</t>
        </is>
      </c>
      <c r="J20" s="13" t="inlineStr">
        <is>
          <t>D000008621</t>
        </is>
      </c>
    </row>
    <row r="21" ht="46" customHeight="1">
      <c r="A21" s="11" t="inlineStr">
        <is>
          <t>B06</t>
        </is>
      </c>
      <c r="B21" s="11" t="inlineStr">
        <is>
          <t>B_SINONIMOS</t>
        </is>
      </c>
      <c r="C21" s="11" t="inlineStr">
        <is>
          <t>Como doy de alta el bono de la luz para una familia con pocos ingresos?</t>
        </is>
      </c>
      <c r="D21" s="12" t="inlineStr">
        <is>
          <t>000001052</t>
        </is>
      </c>
      <c r="E21" s="11" t="inlineStr">
        <is>
          <t>Bono Social</t>
        </is>
      </c>
      <c r="F21" s="11" t="inlineStr">
        <is>
          <t>000001052</t>
        </is>
      </c>
      <c r="G21" s="11" t="inlineStr">
        <is>
          <t>Debe explicar el Bono Social (000001052) Y advertir que Fenie Energia, al ser mercado libre, NO puede aplicarlo: lo tramitan las comercializadoras de referencia en PVPC.</t>
        </is>
      </c>
      <c r="H21" s="11" t="inlineStr">
        <is>
          <t>TAX-010, VAL-003</t>
        </is>
      </c>
      <c r="I21" s="11" t="inlineStr">
        <is>
          <t>Explica como tramitarlo sin advertir que Fenie no puede aplicarlo. Fallo grave de negocio.</t>
        </is>
      </c>
      <c r="J21" s="13" t="inlineStr">
        <is>
          <t>D000001052</t>
        </is>
      </c>
    </row>
    <row r="22" ht="46" customHeight="1">
      <c r="A22" s="11" t="inlineStr">
        <is>
          <t>B07</t>
        </is>
      </c>
      <c r="B22" s="11" t="inlineStr">
        <is>
          <t>B_SINONIMOS</t>
        </is>
      </c>
      <c r="C22" s="11" t="inlineStr">
        <is>
          <t>Quiero cambiar el firmante del contrato.</t>
        </is>
      </c>
      <c r="D22" s="12" t="inlineStr">
        <is>
          <t>000008616</t>
        </is>
      </c>
      <c r="E22" s="11" t="inlineStr">
        <is>
          <t>Modificacion de datos del representante</t>
        </is>
      </c>
      <c r="F22" s="11" t="inlineStr">
        <is>
          <t>000008616 / 000008619</t>
        </is>
      </c>
      <c r="G22" s="11" t="inlineStr">
        <is>
          <t>Ambiguo a proposito: si es la persona que representa a la empresa -&gt; 000008616. Si es el modo de firma (a distancia, presencial, papel) -&gt; Datos de Contrato (000008619). Respuesta correcta = pedir aclaracion o dar ambas.</t>
        </is>
      </c>
      <c r="H22" s="11" t="inlineStr">
        <is>
          <t>TAX-010, TAX-007</t>
        </is>
      </c>
      <c r="I22" s="11" t="inlineStr">
        <is>
          <t>Elige una sola interpretacion sin senalar la ambiguedad.</t>
        </is>
      </c>
      <c r="J22" s="13" t="inlineStr">
        <is>
          <t>D000008616</t>
        </is>
      </c>
    </row>
    <row r="23" ht="46" customHeight="1">
      <c r="A23" s="11" t="inlineStr">
        <is>
          <t>B08</t>
        </is>
      </c>
      <c r="B23" s="11" t="inlineStr">
        <is>
          <t>B_SINONIMOS</t>
        </is>
      </c>
      <c r="C23" s="11" t="inlineStr">
        <is>
          <t>Como cambio la direccion a la que se le manda la factura en papel?</t>
        </is>
      </c>
      <c r="D23" s="12" t="inlineStr">
        <is>
          <t>000008614</t>
        </is>
      </c>
      <c r="E23" s="11" t="inlineStr">
        <is>
          <t>Modificacion de los Datos de Facturacion</t>
        </is>
      </c>
      <c r="F23" s="11" t="inlineStr">
        <is>
          <t>000008614 / 000008617</t>
        </is>
      </c>
      <c r="G23" s="11" t="inlineStr">
        <is>
          <t>Datos de Facturacion (000008614), que incluye la direccion postal. NO es la direccion del punto de suministro (000008617).</t>
        </is>
      </c>
      <c r="H23" s="11" t="inlineStr">
        <is>
          <t>TAX-010, TAX-007</t>
        </is>
      </c>
      <c r="I23" s="11" t="inlineStr">
        <is>
          <t>Cita 000008617 por la palabra 'direccion'.</t>
        </is>
      </c>
      <c r="J23" s="13" t="inlineStr">
        <is>
          <t>D000008614</t>
        </is>
      </c>
    </row>
    <row r="24" ht="46" customHeight="1">
      <c r="A24" s="11" t="inlineStr">
        <is>
          <t>B09</t>
        </is>
      </c>
      <c r="B24" s="11" t="inlineStr">
        <is>
          <t>B_SINONIMOS</t>
        </is>
      </c>
      <c r="C24" s="11" t="inlineStr">
        <is>
          <t>El cliente no quiere domiciliacion, quiere pagar con codigo de barras.</t>
        </is>
      </c>
      <c r="D24" s="12" t="inlineStr">
        <is>
          <t>000008614</t>
        </is>
      </c>
      <c r="E24" s="11" t="inlineStr">
        <is>
          <t>Modificacion de los Datos de Facturacion</t>
        </is>
      </c>
      <c r="F24" s="11" t="inlineStr">
        <is>
          <t>000008614</t>
        </is>
      </c>
      <c r="G24" s="11" t="inlineStr">
        <is>
          <t>Datos de Facturacion (000008614): incluye 'modificar el metodo de pago a codigo de barras'.</t>
        </is>
      </c>
      <c r="H24" s="11" t="inlineStr">
        <is>
          <t>TAX-010</t>
        </is>
      </c>
      <c r="I24" s="11" t="inlineStr">
        <is>
          <t>No localiza el termino 'codigo de barras' dentro del procedimiento.</t>
        </is>
      </c>
      <c r="J24" s="13" t="inlineStr">
        <is>
          <t>D000008614</t>
        </is>
      </c>
    </row>
    <row r="25" ht="46" customHeight="1">
      <c r="A25" s="11" t="inlineStr">
        <is>
          <t>B10</t>
        </is>
      </c>
      <c r="B25" s="11" t="inlineStr">
        <is>
          <t>B_SINONIMOS</t>
        </is>
      </c>
      <c r="C25" s="11" t="inlineStr">
        <is>
          <t>Como cambio el tipo de firma de un contrato a papel?</t>
        </is>
      </c>
      <c r="D25" s="12" t="inlineStr">
        <is>
          <t>000008619</t>
        </is>
      </c>
      <c r="E25" s="11" t="inlineStr">
        <is>
          <t>Modificacion de Datos de Contrato</t>
        </is>
      </c>
      <c r="F25" s="11" t="inlineStr">
        <is>
          <t>000008619</t>
        </is>
      </c>
      <c r="G25" s="11" t="inlineStr">
        <is>
          <t>Datos de Contrato (000008619): permite cambiar el tipo de firma (a distancia, presencial o papel).</t>
        </is>
      </c>
      <c r="H25" s="11" t="inlineStr">
        <is>
          <t>TAX-010</t>
        </is>
      </c>
      <c r="I25" s="11" t="inlineStr">
        <is>
          <t>Cita el procedimiento de representante o el de facturacion.</t>
        </is>
      </c>
      <c r="J25" s="13" t="inlineStr">
        <is>
          <t>D000008619</t>
        </is>
      </c>
    </row>
    <row r="26" ht="46" customHeight="1">
      <c r="A26" s="11" t="inlineStr">
        <is>
          <t>B11</t>
        </is>
      </c>
      <c r="B26" s="11" t="inlineStr">
        <is>
          <t>B_SINONIMOS</t>
        </is>
      </c>
      <c r="C26" s="11" t="inlineStr">
        <is>
          <t>Quiero quitarle el maximetro al contrato del cliente.</t>
        </is>
      </c>
      <c r="D26" s="12" t="inlineStr">
        <is>
          <t>000008622</t>
        </is>
      </c>
      <c r="E26" s="11" t="inlineStr">
        <is>
          <t>Modificacion de Maximetro</t>
        </is>
      </c>
      <c r="F26" s="11" t="inlineStr">
        <is>
          <t>000008622</t>
        </is>
      </c>
      <c r="G26" s="11" t="inlineStr">
        <is>
          <t>Modificacion de Maximetro (000008622), gestionada desde la Oficina del Instalador.</t>
        </is>
      </c>
      <c r="H26" s="11" t="inlineStr">
        <is>
          <t>TAX-010</t>
        </is>
      </c>
      <c r="I26" s="11" t="inlineStr">
        <is>
          <t>Deriva a modificacion de potencias.</t>
        </is>
      </c>
      <c r="J26" s="13" t="inlineStr">
        <is>
          <t>D000008622</t>
        </is>
      </c>
    </row>
    <row r="27" ht="46" customHeight="1">
      <c r="A27" s="11" t="inlineStr">
        <is>
          <t>B12</t>
        </is>
      </c>
      <c r="B27" s="11" t="inlineStr">
        <is>
          <t>B_SINONIMOS</t>
        </is>
      </c>
      <c r="C27" s="11" t="inlineStr">
        <is>
          <t>Como paso a un cliente a un producto de precio fijo con tarifa 2.0TD?</t>
        </is>
      </c>
      <c r="D27" s="12" t="inlineStr">
        <is>
          <t>000001634</t>
        </is>
      </c>
      <c r="E27" s="11" t="inlineStr">
        <is>
          <t>Modificacion de producto</t>
        </is>
      </c>
      <c r="F27" s="11" t="inlineStr">
        <is>
          <t>000001634</t>
        </is>
      </c>
      <c r="G27" s="11" t="inlineStr">
        <is>
          <t>Modificacion de producto (000001634), via Modificaciones Administrativas.</t>
        </is>
      </c>
      <c r="H27" s="11" t="inlineStr">
        <is>
          <t>TAX-010</t>
        </is>
      </c>
      <c r="I27" s="11" t="inlineStr">
        <is>
          <t>Cita modificacion de tarifa y potencias (000001631).</t>
        </is>
      </c>
      <c r="J27" s="13" t="inlineStr">
        <is>
          <t>D000001634</t>
        </is>
      </c>
    </row>
    <row r="28" ht="46" customHeight="1">
      <c r="A28" s="11" t="inlineStr">
        <is>
          <t>C01</t>
        </is>
      </c>
      <c r="B28" s="11" t="inlineStr">
        <is>
          <t>C_TABLAS_PERDIDAS</t>
        </is>
      </c>
      <c r="C28" s="11" t="inlineStr">
        <is>
          <t>Cuales son los limites de consumo del Bono Social?</t>
        </is>
      </c>
      <c r="D28" s="12" t="inlineStr">
        <is>
          <t>000001052</t>
        </is>
      </c>
      <c r="E28" s="11" t="inlineStr">
        <is>
          <t>Bono Social</t>
        </is>
      </c>
      <c r="F28" s="11" t="inlineStr">
        <is>
          <t>000001052</t>
        </is>
      </c>
      <c r="G28" s="11" t="inlineStr">
        <is>
          <t>La seccion '3. LIMITES DE CONSUMO' anuncia una tabla que NO aparece en el texto extraido. Respuesta correcta = declarar que no dispone del dato. Cualquier cifra concreta es alucinacion.</t>
        </is>
      </c>
      <c r="H28" s="11" t="inlineStr">
        <is>
          <t>TAX-005, CHUNK-002, EST-004</t>
        </is>
      </c>
      <c r="I28" s="11" t="inlineStr">
        <is>
          <t>Inventa limites de consumo. Riesgo alto: la seccion existe pero la tabla se perdio en la extraccion.</t>
        </is>
      </c>
      <c r="J28" s="13" t="inlineStr">
        <is>
          <t>D000001052</t>
        </is>
      </c>
    </row>
    <row r="29" ht="46" customHeight="1">
      <c r="A29" s="11" t="inlineStr">
        <is>
          <t>C02</t>
        </is>
      </c>
      <c r="B29" s="11" t="inlineStr">
        <is>
          <t>C_TABLAS_PERDIDAS</t>
        </is>
      </c>
      <c r="C29" s="11" t="inlineStr">
        <is>
          <t>Ensename la tabla de potencias normalizadas.</t>
        </is>
      </c>
      <c r="D29" s="12" t="inlineStr">
        <is>
          <t>000001630</t>
        </is>
      </c>
      <c r="E29" s="11" t="inlineStr">
        <is>
          <t>Modificacion de potencias en electricidad</t>
        </is>
      </c>
      <c r="F29" s="11" t="inlineStr">
        <is>
          <t>000001630 / 000001631</t>
        </is>
      </c>
      <c r="G29" s="11" t="inlineStr">
        <is>
          <t>Ambos PDFs solo dicen 'Ver tabla de potencias normalizadas'; la tabla no esta en el texto extraido. Respuesta correcta = no dispone de la tabla.</t>
        </is>
      </c>
      <c r="H29" s="11" t="inlineStr">
        <is>
          <t>TAX-005, CHUNK-002, EST-004, EST-005</t>
        </is>
      </c>
      <c r="I29" s="11" t="inlineStr">
        <is>
          <t>Genera una tabla de potencias inventada a partir de conocimiento general.</t>
        </is>
      </c>
      <c r="J29" s="13" t="inlineStr">
        <is>
          <t>D000001630</t>
        </is>
      </c>
    </row>
    <row r="30" ht="46" customHeight="1">
      <c r="A30" s="11" t="inlineStr">
        <is>
          <t>C03</t>
        </is>
      </c>
      <c r="B30" s="11" t="inlineStr">
        <is>
          <t>C_TABLAS_PERDIDAS</t>
        </is>
      </c>
      <c r="C30" s="11" t="inlineStr">
        <is>
          <t>Que potencia normalizada hay justo por encima de 4,6 kW?</t>
        </is>
      </c>
      <c r="D30" s="12" t="inlineStr">
        <is>
          <t>000001630</t>
        </is>
      </c>
      <c r="E30" s="11" t="inlineStr">
        <is>
          <t>Modificacion de potencias en electricidad</t>
        </is>
      </c>
      <c r="F30" s="11" t="inlineStr">
        <is>
          <t>000001630 / 000001631</t>
        </is>
      </c>
      <c r="G30" s="11" t="inlineStr">
        <is>
          <t>El dato requiere la tabla de potencias normalizadas, ausente del texto. Respuesta correcta = no consta en la documentacion.</t>
        </is>
      </c>
      <c r="H30" s="11" t="inlineStr">
        <is>
          <t>TAX-005, CHUNK-002</t>
        </is>
      </c>
      <c r="I30" s="11" t="inlineStr">
        <is>
          <t>Responde con la escala normalizada del sector en vez de con la documentacion. Alucinacion plausible y dificil de detectar.</t>
        </is>
      </c>
      <c r="J30" s="13" t="inlineStr">
        <is>
          <t>D000001630</t>
        </is>
      </c>
    </row>
    <row r="31" ht="46" customHeight="1">
      <c r="A31" s="11" t="inlineStr">
        <is>
          <t>C04</t>
        </is>
      </c>
      <c r="B31" s="11" t="inlineStr">
        <is>
          <t>C_TABLAS_PERDIDAS</t>
        </is>
      </c>
      <c r="C31" s="11" t="inlineStr">
        <is>
          <t>Cual es la comision fija por suministro de electricidad para una Empresa Delegada?</t>
        </is>
      </c>
      <c r="D31" s="12" t="inlineStr">
        <is>
          <t>000004627</t>
        </is>
      </c>
      <c r="E31" s="11" t="inlineStr">
        <is>
          <t>Acuerdo Marco de Colaboracion EDE - Fenie Energia</t>
        </is>
      </c>
      <c r="F31" s="11" t="inlineStr">
        <is>
          <t>000004627</t>
        </is>
      </c>
      <c r="G31" s="11" t="inlineStr">
        <is>
          <t>Esta en el Anexo II, en tablas sin titulo propio que se extienden por varias paginas. Verificar que la cifra citada corresponde al producto preguntado y no a otro.</t>
        </is>
      </c>
      <c r="H31" s="11" t="inlineStr">
        <is>
          <t>TAX-005, EST-004, EST-005</t>
        </is>
      </c>
      <c r="I31" s="11" t="inlineStr">
        <is>
          <t>Devuelve una comision de otro producto: las tablas no se autoidentifican.</t>
        </is>
      </c>
      <c r="J31" s="13" t="inlineStr">
        <is>
          <t>D000004627</t>
        </is>
      </c>
    </row>
    <row r="32" ht="46" customHeight="1">
      <c r="A32" s="11" t="inlineStr">
        <is>
          <t>C05</t>
        </is>
      </c>
      <c r="B32" s="11" t="inlineStr">
        <is>
          <t>C_TABLAS_PERDIDAS</t>
        </is>
      </c>
      <c r="C32" s="11" t="inlineStr">
        <is>
          <t>Cuanto se retribuye en EUR/MWh en el producto Index flexible?</t>
        </is>
      </c>
      <c r="D32" s="12" t="inlineStr">
        <is>
          <t>000004627</t>
        </is>
      </c>
      <c r="E32" s="11" t="inlineStr">
        <is>
          <t>Acuerdo Marco de Colaboracion EDE - Fenie Energia</t>
        </is>
      </c>
      <c r="F32" s="11" t="inlineStr">
        <is>
          <t>000004627</t>
        </is>
      </c>
      <c r="G32" s="11" t="inlineStr">
        <is>
          <t>Tabla de retribucion del Anexo II sin titulo que nombre el producto. Verificar correspondencia exacta producto-cifra.</t>
        </is>
      </c>
      <c r="H32" s="11" t="inlineStr">
        <is>
          <t>TAX-005, TAX-006, EST-004</t>
        </is>
      </c>
      <c r="I32" s="11" t="inlineStr">
        <is>
          <t>Cruza cifras entre productos distintos del mismo anexo.</t>
        </is>
      </c>
      <c r="J32" s="13" t="inlineStr">
        <is>
          <t>D000004627</t>
        </is>
      </c>
    </row>
    <row r="33" ht="46" customHeight="1">
      <c r="A33" s="11" t="inlineStr">
        <is>
          <t>C06</t>
        </is>
      </c>
      <c r="B33" s="11" t="inlineStr">
        <is>
          <t>C_TABLAS_PERDIDAS</t>
        </is>
      </c>
      <c r="C33" s="11" t="inlineStr">
        <is>
          <t>Como funciona el BONUS MENSUAL de las Empresas Delegadas?</t>
        </is>
      </c>
      <c r="D33" s="12" t="inlineStr">
        <is>
          <t>000004627</t>
        </is>
      </c>
      <c r="E33" s="11" t="inlineStr">
        <is>
          <t>Acuerdo Marco de Colaboracion EDE - Fenie Energia</t>
        </is>
      </c>
      <c r="F33" s="11" t="inlineStr">
        <is>
          <t>000004627</t>
        </is>
      </c>
      <c r="G33" s="11" t="inlineStr">
        <is>
          <t>Tabla 'BONUS MENSUAL' del Anexo II, sin titulo propio que la vincule al producto.</t>
        </is>
      </c>
      <c r="H33" s="11" t="inlineStr">
        <is>
          <t>TAX-005, EST-004</t>
        </is>
      </c>
      <c r="I33" s="11" t="inlineStr">
        <is>
          <t>Mezcla el bonus con la comision fija o variable.</t>
        </is>
      </c>
      <c r="J33" s="13" t="inlineStr">
        <is>
          <t>D000004627</t>
        </is>
      </c>
    </row>
    <row r="34" ht="46" customHeight="1">
      <c r="A34" s="11" t="inlineStr">
        <is>
          <t>C07</t>
        </is>
      </c>
      <c r="B34" s="11" t="inlineStr">
        <is>
          <t>C_TABLAS_PERDIDAS</t>
        </is>
      </c>
      <c r="C34" s="11" t="inlineStr">
        <is>
          <t>Enumera todos los tipos de autoconsumo que existen.</t>
        </is>
      </c>
      <c r="D34" s="12" t="inlineStr">
        <is>
          <t>000008621</t>
        </is>
      </c>
      <c r="E34" s="11" t="inlineStr">
        <is>
          <t>Modificacion de autoconsumo</t>
        </is>
      </c>
      <c r="F34" s="11" t="inlineStr">
        <is>
          <t>000008621</t>
        </is>
      </c>
      <c r="G34" s="11" t="inlineStr">
        <is>
          <t>El PDF lista los tipos pero sin titulo de tabla; la extraccion termina truncada en 'Autoconsumo 74'. Verificar si la lista devuelta esta completa.</t>
        </is>
      </c>
      <c r="H34" s="11" t="inlineStr">
        <is>
          <t>TAX-005, EST-004, CHUNK-002</t>
        </is>
      </c>
      <c r="I34" s="11" t="inlineStr">
        <is>
          <t>Devuelve una lista incompleta o la completa con tipos inventados.</t>
        </is>
      </c>
      <c r="J34" s="13" t="inlineStr">
        <is>
          <t>D000008621</t>
        </is>
      </c>
    </row>
    <row r="35" ht="46" customHeight="1">
      <c r="A35" s="11" t="inlineStr">
        <is>
          <t>C08</t>
        </is>
      </c>
      <c r="B35" s="11" t="inlineStr">
        <is>
          <t>C_TABLAS_PERDIDAS</t>
        </is>
      </c>
      <c r="C35" s="11" t="inlineStr">
        <is>
          <t>Que pasos hay que seguir en pantalla para modificar los datos de facturacion?</t>
        </is>
      </c>
      <c r="D35" s="12" t="inlineStr">
        <is>
          <t>000008614</t>
        </is>
      </c>
      <c r="E35" s="11" t="inlineStr">
        <is>
          <t>Modificacion de los Datos de Facturacion</t>
        </is>
      </c>
      <c r="F35" s="11" t="inlineStr">
        <is>
          <t>000008614</t>
        </is>
      </c>
      <c r="G35" s="11" t="inlineStr">
        <is>
          <t>Los subapartados a), b), c) remiten a capturas de pantalla no transcritas. Respuesta correcta = dar los pasos textuales y advertir que hay referencias graficas.</t>
        </is>
      </c>
      <c r="H35" s="11" t="inlineStr">
        <is>
          <t>TAX-005, CHUNK-002, EST-004</t>
        </is>
      </c>
      <c r="I35" s="11" t="inlineStr">
        <is>
          <t>Describe pantallas y botones que no constan en el texto.</t>
        </is>
      </c>
      <c r="J35" s="13" t="inlineStr">
        <is>
          <t>D000008614</t>
        </is>
      </c>
    </row>
    <row r="36" ht="46" customHeight="1">
      <c r="A36" s="11" t="inlineStr">
        <is>
          <t>D01</t>
        </is>
      </c>
      <c r="B36" s="11" t="inlineStr">
        <is>
          <t>D_TRAMPA</t>
        </is>
      </c>
      <c r="C36" s="11" t="inlineStr">
        <is>
          <t>Puede Fenie Energia aplicar el Bono Social a sus clientes?</t>
        </is>
      </c>
      <c r="D36" s="12" t="inlineStr">
        <is>
          <t>000001052</t>
        </is>
      </c>
      <c r="E36" s="11" t="inlineStr">
        <is>
          <t>Bono Social</t>
        </is>
      </c>
      <c r="F36" s="11" t="inlineStr">
        <is>
          <t>000001052</t>
        </is>
      </c>
      <c r="G36" s="11" t="inlineStr">
        <is>
          <t>NO. Fenie Energia opera en mercado libre; el Bono Social solo lo aplican las comercializadoras de referencia sobre la tarifa PVPC. Es la trampa principal del corpus.</t>
        </is>
      </c>
      <c r="H36" s="11" t="inlineStr">
        <is>
          <t>VAL-003, TAX-008</t>
        </is>
      </c>
      <c r="I36" s="11" t="inlineStr">
        <is>
          <t>Responde que si o explica el tramite sin la salvedad. Fallo critico de negocio.</t>
        </is>
      </c>
      <c r="J36" s="13" t="inlineStr">
        <is>
          <t>D000001052</t>
        </is>
      </c>
    </row>
    <row r="37" ht="46" customHeight="1">
      <c r="A37" s="11" t="inlineStr">
        <is>
          <t>D02</t>
        </is>
      </c>
      <c r="B37" s="11" t="inlineStr">
        <is>
          <t>D_TRAMPA</t>
        </is>
      </c>
      <c r="C37" s="11" t="inlineStr">
        <is>
          <t>De que fecha es la ultima version del procedimiento de cambio de titular?</t>
        </is>
      </c>
      <c r="D37" s="12" t="inlineStr">
        <is>
          <t>000001633</t>
        </is>
      </c>
      <c r="E37" s="11" t="inlineStr">
        <is>
          <t>Cambio de titular en electricidad y gas</t>
        </is>
      </c>
      <c r="F37" s="11" t="inlineStr">
        <is>
          <t>000001633</t>
        </is>
      </c>
      <c r="G37" s="11" t="inlineStr">
        <is>
          <t>NO CONSTA. META-002 falla en los 15 documentos: ninguno indica fecha de actualizacion ni version. Cualquier fecha concreta es alucinacion.</t>
        </is>
      </c>
      <c r="H37" s="11" t="inlineStr">
        <is>
          <t>META-002, META-008, VAL-003</t>
        </is>
      </c>
      <c r="I37" s="11" t="inlineStr">
        <is>
          <t>Inventa una fecha o devuelve la fecha de una norma citada como si fuera la del documento.</t>
        </is>
      </c>
      <c r="J37" s="13" t="inlineStr">
        <is>
          <t>D000001633</t>
        </is>
      </c>
    </row>
    <row r="38" ht="46" customHeight="1">
      <c r="A38" s="11" t="inlineStr">
        <is>
          <t>D03</t>
        </is>
      </c>
      <c r="B38" s="11" t="inlineStr">
        <is>
          <t>D_TRAMPA</t>
        </is>
      </c>
      <c r="C38" s="11" t="inlineStr">
        <is>
          <t>Cuantas modificaciones de potencia puede pedir un cliente en un ano?</t>
        </is>
      </c>
      <c r="D38" s="12" t="inlineStr">
        <is>
          <t>000001630</t>
        </is>
      </c>
      <c r="E38" s="11" t="inlineStr">
        <is>
          <t>Modificacion de potencias en electricidad</t>
        </is>
      </c>
      <c r="F38" s="11" t="inlineStr">
        <is>
          <t>000001630</t>
        </is>
      </c>
      <c r="G38" s="11" t="inlineStr">
        <is>
          <t>Como maximo UNA en un periodo de 12 meses. El dato SI consta en el documento: es control positivo dentro del bloque de trampas.</t>
        </is>
      </c>
      <c r="H38" s="11" t="inlineStr">
        <is>
          <t>VAL-003</t>
        </is>
      </c>
      <c r="I38" s="11" t="inlineStr">
        <is>
          <t>Deberia acertar. Si falla, el problema no es la desambiguacion sino la recuperacion basica.</t>
        </is>
      </c>
      <c r="J38" s="13" t="inlineStr">
        <is>
          <t>D000001630</t>
        </is>
      </c>
    </row>
    <row r="39" ht="46" customHeight="1">
      <c r="A39" s="11" t="inlineStr">
        <is>
          <t>D04</t>
        </is>
      </c>
      <c r="B39" s="11" t="inlineStr">
        <is>
          <t>D_TRAMPA</t>
        </is>
      </c>
      <c r="C39" s="11" t="inlineStr">
        <is>
          <t>Cual es el coste de activar el Monedero Solar?</t>
        </is>
      </c>
      <c r="D39" s="12" t="inlineStr">
        <is>
          <t>000008620</t>
        </is>
      </c>
      <c r="E39" s="11" t="inlineStr">
        <is>
          <t>Monedero Solar</t>
        </is>
      </c>
      <c r="F39" s="11" t="inlineStr">
        <is>
          <t>000008620</t>
        </is>
      </c>
      <c r="G39" s="11" t="inlineStr">
        <is>
          <t>El coste figura en el cuerpo del documento. Verificar que la cifra citada es la del PDF y no la del incremento de Remesa Fija (0,0012 EUR/kWh).</t>
        </is>
      </c>
      <c r="H39" s="11" t="inlineStr">
        <is>
          <t>VAL-003, TAX-006</t>
        </is>
      </c>
      <c r="I39" s="11" t="inlineStr">
        <is>
          <t>Devuelve el importe de otro procedimiento.</t>
        </is>
      </c>
      <c r="J39" s="13" t="inlineStr">
        <is>
          <t>D000008620</t>
        </is>
      </c>
    </row>
    <row r="40" ht="46" customHeight="1">
      <c r="A40" s="11" t="inlineStr">
        <is>
          <t>D05</t>
        </is>
      </c>
      <c r="B40" s="11" t="inlineStr">
        <is>
          <t>D_TRAMPA</t>
        </is>
      </c>
      <c r="C40" s="11" t="inlineStr">
        <is>
          <t>Que documentacion hace falta para pasar el contador a propiedad de la Distribuidora?</t>
        </is>
      </c>
      <c r="D40" s="12" t="inlineStr">
        <is>
          <t>000008623</t>
        </is>
      </c>
      <c r="E40" s="11" t="inlineStr">
        <is>
          <t>Modificacion de Propiedad del Contador</t>
        </is>
      </c>
      <c r="F40" s="11" t="inlineStr">
        <is>
          <t>000008623 / 000008616</t>
        </is>
      </c>
      <c r="G40" s="11" t="inlineStr">
        <is>
          <t>La que lista el PDF 000008623 para el paso de propiedad del cliente a la Distribuidora. NO es el DNI/NIE del representante (000008616).</t>
        </is>
      </c>
      <c r="H40" s="11" t="inlineStr">
        <is>
          <t>VAL-003, TAX-007</t>
        </is>
      </c>
      <c r="I40" s="11" t="inlineStr">
        <is>
          <t>Devuelve la documentacion del cambio de representante.</t>
        </is>
      </c>
      <c r="J40" s="13" t="inlineStr">
        <is>
          <t>D000008623</t>
        </is>
      </c>
    </row>
    <row r="41" ht="46" customHeight="1">
      <c r="A41" s="11" t="inlineStr">
        <is>
          <t>D06</t>
        </is>
      </c>
      <c r="B41" s="11" t="inlineStr">
        <is>
          <t>D_TRAMPA</t>
        </is>
      </c>
      <c r="C41" s="11" t="inlineStr">
        <is>
          <t>En que categoria esta clasificado el procedimiento de Remesa Fija?</t>
        </is>
      </c>
      <c r="D41" s="12" t="inlineStr">
        <is>
          <t>000008618</t>
        </is>
      </c>
      <c r="E41" s="11" t="inlineStr">
        <is>
          <t>Modificacion de Remesa Fija</t>
        </is>
      </c>
      <c r="F41" s="11" t="inlineStr">
        <is>
          <t>000008618</t>
        </is>
      </c>
      <c r="G41" s="11" t="inlineStr">
        <is>
          <t>NO CONSTA. META-005 falla en los 15 documentos: ninguno declara su categoria. Cualquier categoria concreta es alucinacion.</t>
        </is>
      </c>
      <c r="H41" s="11" t="inlineStr">
        <is>
          <t>META-005, VAL-003</t>
        </is>
      </c>
      <c r="I41" s="11" t="inlineStr">
        <is>
          <t>Inventa una taxonomia que no existe en el corpus.</t>
        </is>
      </c>
      <c r="J41" s="13" t="inlineStr">
        <is>
          <t>D000008618</t>
        </is>
      </c>
    </row>
    <row r="42" ht="46" customHeight="1">
      <c r="A42" s="11" t="inlineStr">
        <is>
          <t>E01</t>
        </is>
      </c>
      <c r="B42" s="11" t="inlineStr">
        <is>
          <t>E_LITERAL</t>
        </is>
      </c>
      <c r="C42" s="11" t="inlineStr">
        <is>
          <t>Entre que dias del mes se puede elegir el cobro en la Remesa Fija?</t>
        </is>
      </c>
      <c r="D42" s="12" t="inlineStr">
        <is>
          <t>000008618</t>
        </is>
      </c>
      <c r="E42" s="11" t="inlineStr">
        <is>
          <t>Modificacion de Remesa Fija</t>
        </is>
      </c>
      <c r="F42" s="11" t="inlineStr">
        <is>
          <t>000008618</t>
        </is>
      </c>
      <c r="G42" s="11" t="inlineStr">
        <is>
          <t>Entre el dia 1 y el 28.</t>
        </is>
      </c>
      <c r="H42" s="11" t="inlineStr">
        <is>
          <t>VAL-003</t>
        </is>
      </c>
      <c r="I42" s="11" t="inlineStr">
        <is>
          <t>Control positivo. Un fallo aqui indica problema de recuperacion, no de taxonomia.</t>
        </is>
      </c>
      <c r="J42" s="13" t="inlineStr">
        <is>
          <t>D000008618</t>
        </is>
      </c>
    </row>
    <row r="43" ht="46" customHeight="1">
      <c r="A43" s="11" t="inlineStr">
        <is>
          <t>E02</t>
        </is>
      </c>
      <c r="B43" s="11" t="inlineStr">
        <is>
          <t>E_LITERAL</t>
        </is>
      </c>
      <c r="C43" s="11" t="inlineStr">
        <is>
          <t>Que incremento de precio se aplica al activar la Remesa Fija?</t>
        </is>
      </c>
      <c r="D43" s="12" t="inlineStr">
        <is>
          <t>000008618</t>
        </is>
      </c>
      <c r="E43" s="11" t="inlineStr">
        <is>
          <t>Modificacion de Remesa Fija</t>
        </is>
      </c>
      <c r="F43" s="11" t="inlineStr">
        <is>
          <t>000008618</t>
        </is>
      </c>
      <c r="G43" s="11" t="inlineStr">
        <is>
          <t>Un incremento de 0,0012 EUR/kWh.</t>
        </is>
      </c>
      <c r="H43" s="11" t="inlineStr">
        <is>
          <t>VAL-003</t>
        </is>
      </c>
      <c r="I43" s="11" t="inlineStr">
        <is>
          <t>Control positivo sobre una cifra en vinetas, no en tabla.</t>
        </is>
      </c>
      <c r="J43" s="13" t="inlineStr">
        <is>
          <t>D000008618</t>
        </is>
      </c>
    </row>
    <row r="44" ht="46" customHeight="1">
      <c r="A44" s="11" t="inlineStr">
        <is>
          <t>E03</t>
        </is>
      </c>
      <c r="B44" s="11" t="inlineStr">
        <is>
          <t>E_LITERAL</t>
        </is>
      </c>
      <c r="C44" s="11" t="inlineStr">
        <is>
          <t>Que plazo minimo debe respetarse entre la emision y el cobro de la factura?</t>
        </is>
      </c>
      <c r="D44" s="12" t="inlineStr">
        <is>
          <t>000008618</t>
        </is>
      </c>
      <c r="E44" s="11" t="inlineStr">
        <is>
          <t>Modificacion de Remesa Fija</t>
        </is>
      </c>
      <c r="F44" s="11" t="inlineStr">
        <is>
          <t>000008618</t>
        </is>
      </c>
      <c r="G44" s="11" t="inlineStr">
        <is>
          <t>Un plazo minimo de 10 dias entre la emision y el cobro.</t>
        </is>
      </c>
      <c r="H44" s="11" t="inlineStr">
        <is>
          <t>VAL-003</t>
        </is>
      </c>
      <c r="I44" s="11" t="inlineStr">
        <is>
          <t>Control positivo.</t>
        </is>
      </c>
      <c r="J44" s="13" t="inlineStr">
        <is>
          <t>D000008618</t>
        </is>
      </c>
    </row>
    <row r="45" ht="46" customHeight="1">
      <c r="A45" s="11" t="inlineStr">
        <is>
          <t>E04</t>
        </is>
      </c>
      <c r="B45" s="11" t="inlineStr">
        <is>
          <t>E_LITERAL</t>
        </is>
      </c>
      <c r="C45" s="11" t="inlineStr">
        <is>
          <t>Se pueden introducir telefonos extranjeros en los datos de contacto del punto de suministro?</t>
        </is>
      </c>
      <c r="D45" s="12" t="inlineStr">
        <is>
          <t>000008617</t>
        </is>
      </c>
      <c r="E45" s="11" t="inlineStr">
        <is>
          <t>Modificacion de Datos de Contacto del Punto de Suministro</t>
        </is>
      </c>
      <c r="F45" s="11" t="inlineStr">
        <is>
          <t>000008617</t>
        </is>
      </c>
      <c r="G45" s="11" t="inlineStr">
        <is>
          <t>NO. El sistema solo acepta numeros de telefono de Espana (prefijo +34).</t>
        </is>
      </c>
      <c r="H45" s="11" t="inlineStr">
        <is>
          <t>VAL-003</t>
        </is>
      </c>
      <c r="I45" s="11" t="inlineStr">
        <is>
          <t>Control positivo sobre una restriccion tecnica explicita.</t>
        </is>
      </c>
      <c r="J45" s="13" t="inlineStr">
        <is>
          <t>D000008617</t>
        </is>
      </c>
    </row>
    <row r="46" ht="46" customHeight="1">
      <c r="A46" s="11" t="inlineStr">
        <is>
          <t>E05</t>
        </is>
      </c>
      <c r="B46" s="11" t="inlineStr">
        <is>
          <t>E_LITERAL</t>
        </is>
      </c>
      <c r="C46" s="11" t="inlineStr">
        <is>
          <t>Que limite de ingresos exige el Bono Social?</t>
        </is>
      </c>
      <c r="D46" s="12" t="inlineStr">
        <is>
          <t>000001052</t>
        </is>
      </c>
      <c r="E46" s="11" t="inlineStr">
        <is>
          <t>Bono Social</t>
        </is>
      </c>
      <c r="F46" s="11" t="inlineStr">
        <is>
          <t>000001052</t>
        </is>
      </c>
      <c r="G46" s="11" t="inlineStr">
        <is>
          <t>Ingresos anuales de la unidad de convivencia menores o iguales a 1,5 x IPREM.</t>
        </is>
      </c>
      <c r="H46" s="11" t="inlineStr">
        <is>
          <t>VAL-003</t>
        </is>
      </c>
      <c r="I46" s="11" t="inlineStr">
        <is>
          <t>Control positivo. Contrasta con C01, cuyo dato si se perdio.</t>
        </is>
      </c>
      <c r="J46" s="13" t="inlineStr">
        <is>
          <t>D000001052</t>
        </is>
      </c>
    </row>
    <row r="47" ht="46" customHeight="1">
      <c r="A47" s="11" t="inlineStr">
        <is>
          <t>E06</t>
        </is>
      </c>
      <c r="B47" s="11" t="inlineStr">
        <is>
          <t>E_LITERAL</t>
        </is>
      </c>
      <c r="C47" s="11" t="inlineStr">
        <is>
          <t>Cuanto tiempo dura la validez del Bono Social?</t>
        </is>
      </c>
      <c r="D47" s="12" t="inlineStr">
        <is>
          <t>000001052</t>
        </is>
      </c>
      <c r="E47" s="11" t="inlineStr">
        <is>
          <t>Bono Social</t>
        </is>
      </c>
      <c r="F47" s="11" t="inlineStr">
        <is>
          <t>000001052</t>
        </is>
      </c>
      <c r="G47" s="11" t="inlineStr">
        <is>
          <t>Dos anos.</t>
        </is>
      </c>
      <c r="H47" s="11" t="inlineStr">
        <is>
          <t>VAL-003</t>
        </is>
      </c>
      <c r="I47" s="11" t="inlineStr">
        <is>
          <t>Control positivo.</t>
        </is>
      </c>
      <c r="J47" s="13" t="inlineStr">
        <is>
          <t>D000001052</t>
        </is>
      </c>
    </row>
    <row r="48" ht="46" customHeight="1">
      <c r="A48" s="11" t="inlineStr">
        <is>
          <t>E07</t>
        </is>
      </c>
      <c r="B48" s="11" t="inlineStr">
        <is>
          <t>E_LITERAL</t>
        </is>
      </c>
      <c r="C48" s="11" t="inlineStr">
        <is>
          <t>Que documento hay que aportar para cambiar al representante de un contrato?</t>
        </is>
      </c>
      <c r="D48" s="12" t="inlineStr">
        <is>
          <t>000008616</t>
        </is>
      </c>
      <c r="E48" s="11" t="inlineStr">
        <is>
          <t>Modificacion de datos del representante</t>
        </is>
      </c>
      <c r="F48" s="11" t="inlineStr">
        <is>
          <t>000008616</t>
        </is>
      </c>
      <c r="G48" s="11" t="inlineStr">
        <is>
          <t>Copia escaneada del DNI/NIE del nuevo representante.</t>
        </is>
      </c>
      <c r="H48" s="11" t="inlineStr">
        <is>
          <t>VAL-003</t>
        </is>
      </c>
      <c r="I48" s="11" t="inlineStr">
        <is>
          <t>Control positivo.</t>
        </is>
      </c>
      <c r="J48" s="13" t="inlineStr">
        <is>
          <t>D000008616</t>
        </is>
      </c>
    </row>
    <row r="49" ht="46" customHeight="1">
      <c r="A49" s="11" t="inlineStr">
        <is>
          <t>E08</t>
        </is>
      </c>
      <c r="B49" s="11" t="inlineStr">
        <is>
          <t>E_LITERAL</t>
        </is>
      </c>
      <c r="C49" s="11" t="inlineStr">
        <is>
          <t>Cual es el plazo de aceptacion del autoconsumo individual?</t>
        </is>
      </c>
      <c r="D49" s="12" t="inlineStr">
        <is>
          <t>000008621</t>
        </is>
      </c>
      <c r="E49" s="11" t="inlineStr">
        <is>
          <t>Modificacion de autoconsumo</t>
        </is>
      </c>
      <c r="F49" s="11" t="inlineStr">
        <is>
          <t>000008621</t>
        </is>
      </c>
      <c r="G49" s="11" t="inlineStr">
        <is>
          <t>5 dias habiles, segun la Orden TED/1247/2021.</t>
        </is>
      </c>
      <c r="H49" s="11" t="inlineStr">
        <is>
          <t>VAL-003</t>
        </is>
      </c>
      <c r="I49" s="11" t="inlineStr">
        <is>
          <t>Control positivo sobre dato en vinetas sin titulo de tabla.</t>
        </is>
      </c>
      <c r="J49" s="13" t="inlineStr">
        <is>
          <t>D000008621</t>
        </is>
      </c>
    </row>
    <row r="50" ht="46" customHeight="1">
      <c r="A50" s="11" t="inlineStr">
        <is>
          <t>F01</t>
        </is>
      </c>
      <c r="B50" s="11" t="inlineStr">
        <is>
          <t>F_TRAZABILIDAD</t>
        </is>
      </c>
      <c r="C50" s="11" t="inlineStr">
        <is>
          <t>En que normativa se basa el Bono Social?</t>
        </is>
      </c>
      <c r="D50" s="12" t="inlineStr">
        <is>
          <t>000001052</t>
        </is>
      </c>
      <c r="E50" s="11" t="inlineStr">
        <is>
          <t>Bono Social</t>
        </is>
      </c>
      <c r="F50" s="11" t="inlineStr">
        <is>
          <t>000001052</t>
        </is>
      </c>
      <c r="G50" s="11" t="inlineStr">
        <is>
          <t>Real Decreto 897/2017, de 6 de octubre, y Real Decreto 88/2026, de 11 de febrero.</t>
        </is>
      </c>
      <c r="H50" s="11" t="inlineStr">
        <is>
          <t>META-009</t>
        </is>
      </c>
      <c r="I50" s="11" t="inlineStr">
        <is>
          <t>Uno de los 2 unicos documentos que cumplen META-009. Deberia acertar.</t>
        </is>
      </c>
      <c r="J50" s="13" t="inlineStr">
        <is>
          <t>D000001052</t>
        </is>
      </c>
    </row>
    <row r="51" ht="46" customHeight="1">
      <c r="A51" s="11" t="inlineStr">
        <is>
          <t>F02</t>
        </is>
      </c>
      <c r="B51" s="11" t="inlineStr">
        <is>
          <t>F_TRAZABILIDAD</t>
        </is>
      </c>
      <c r="C51" s="11" t="inlineStr">
        <is>
          <t>Que norma regula los plazos del autoconsumo?</t>
        </is>
      </c>
      <c r="D51" s="12" t="inlineStr">
        <is>
          <t>000008621</t>
        </is>
      </c>
      <c r="E51" s="11" t="inlineStr">
        <is>
          <t>Modificacion de autoconsumo</t>
        </is>
      </c>
      <c r="F51" s="11" t="inlineStr">
        <is>
          <t>000008621</t>
        </is>
      </c>
      <c r="G51" s="11" t="inlineStr">
        <is>
          <t>Orden TED/1247/2021, de 15 de noviembre.</t>
        </is>
      </c>
      <c r="H51" s="11" t="inlineStr">
        <is>
          <t>META-009</t>
        </is>
      </c>
      <c r="I51" s="11" t="inlineStr">
        <is>
          <t>La norma se cita de pasada, sin seccion de fuentes. Puede no recuperarla.</t>
        </is>
      </c>
      <c r="J51" s="13" t="inlineStr">
        <is>
          <t>D000008621</t>
        </is>
      </c>
    </row>
  </sheetData>
  <autoFilter ref="A1:J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52" customWidth="1" min="3" max="3"/>
    <col width="34" customWidth="1" min="4" max="4"/>
    <col width="60" customWidth="1" min="5" max="5"/>
    <col width="26" customWidth="1" min="6" max="6"/>
    <col width="12" customWidth="1" min="7" max="7"/>
    <col width="14" customWidth="1" min="8" max="8"/>
    <col width="16" customWidth="1" min="9" max="9"/>
    <col width="8" customWidth="1" min="10" max="10"/>
    <col width="40" customWidth="1" min="11" max="11"/>
  </cols>
  <sheetData>
    <row r="1">
      <c r="A1" s="10" t="inlineStr">
        <is>
          <t>id</t>
        </is>
      </c>
      <c r="B1" s="10" t="inlineStr">
        <is>
          <t>categoria</t>
        </is>
      </c>
      <c r="C1" s="10" t="inlineStr">
        <is>
          <t>pregunta</t>
        </is>
      </c>
      <c r="D1" s="10" t="inlineStr">
        <is>
          <t>doc_esperado</t>
        </is>
      </c>
      <c r="E1" s="10" t="inlineStr">
        <is>
          <t>respuesta_de_lucia</t>
        </is>
      </c>
      <c r="F1" s="10" t="inlineStr">
        <is>
          <t>doc_citado_por_lucia</t>
        </is>
      </c>
      <c r="G1" s="10" t="inlineStr">
        <is>
          <t>cita_ok</t>
        </is>
      </c>
      <c r="H1" s="10" t="inlineStr">
        <is>
          <t>exactitud</t>
        </is>
      </c>
      <c r="I1" s="10" t="inlineStr">
        <is>
          <t>veredicto</t>
        </is>
      </c>
      <c r="J1" s="10" t="inlineStr">
        <is>
          <t>puntos</t>
        </is>
      </c>
      <c r="K1" s="10" t="inlineStr">
        <is>
          <t>observaciones</t>
        </is>
      </c>
    </row>
    <row r="2" ht="44" customHeight="1">
      <c r="A2" s="11">
        <f>'01_Banco_preguntas'!A2</f>
        <v/>
      </c>
      <c r="B2" s="11">
        <f>'01_Banco_preguntas'!B2</f>
        <v/>
      </c>
      <c r="C2" s="11">
        <f>'01_Banco_preguntas'!C2</f>
        <v/>
      </c>
      <c r="D2" s="11">
        <f>'01_Banco_preguntas'!D2&amp;" "&amp;'01_Banco_preguntas'!E2</f>
        <v/>
      </c>
      <c r="E2" s="6" t="n"/>
      <c r="F2" s="6" t="n"/>
      <c r="G2" s="14" t="n"/>
      <c r="H2" s="14" t="n"/>
      <c r="I2" s="15">
        <f>IF(OR($G2="",$H2=""),"",IF($H2="INVENTADA","ALUCINACION",IF($H2="NO_RESPONDE","SIN_RESPUESTA",IF(AND($G2="SI",$H2="LITERAL"),"ACIERTO",IF(OR($G2="NO",$G2="NO_CITA"),"FALLO","PARCIAL")))))</f>
        <v/>
      </c>
      <c r="J2" s="16">
        <f>IF($I2="","",IF($I2="ACIERTO",1,IF($I2="PARCIAL",0.5,IF($I2="ALUCINACION",-1,0))))</f>
        <v/>
      </c>
      <c r="K2" s="6" t="n"/>
    </row>
    <row r="3" ht="44" customHeight="1">
      <c r="A3" s="11">
        <f>'01_Banco_preguntas'!A3</f>
        <v/>
      </c>
      <c r="B3" s="11">
        <f>'01_Banco_preguntas'!B3</f>
        <v/>
      </c>
      <c r="C3" s="11">
        <f>'01_Banco_preguntas'!C3</f>
        <v/>
      </c>
      <c r="D3" s="11">
        <f>'01_Banco_preguntas'!D3&amp;" "&amp;'01_Banco_preguntas'!E3</f>
        <v/>
      </c>
      <c r="E3" s="6" t="n"/>
      <c r="F3" s="6" t="n"/>
      <c r="G3" s="14" t="n"/>
      <c r="H3" s="14" t="n"/>
      <c r="I3" s="15">
        <f>IF(OR($G3="",$H3=""),"",IF($H3="INVENTADA","ALUCINACION",IF($H3="NO_RESPONDE","SIN_RESPUESTA",IF(AND($G3="SI",$H3="LITERAL"),"ACIERTO",IF(OR($G3="NO",$G3="NO_CITA"),"FALLO","PARCIAL")))))</f>
        <v/>
      </c>
      <c r="J3" s="16">
        <f>IF($I3="","",IF($I3="ACIERTO",1,IF($I3="PARCIAL",0.5,IF($I3="ALUCINACION",-1,0))))</f>
        <v/>
      </c>
      <c r="K3" s="6" t="n"/>
    </row>
    <row r="4" ht="44" customHeight="1">
      <c r="A4" s="11">
        <f>'01_Banco_preguntas'!A4</f>
        <v/>
      </c>
      <c r="B4" s="11">
        <f>'01_Banco_preguntas'!B4</f>
        <v/>
      </c>
      <c r="C4" s="11">
        <f>'01_Banco_preguntas'!C4</f>
        <v/>
      </c>
      <c r="D4" s="11">
        <f>'01_Banco_preguntas'!D4&amp;" "&amp;'01_Banco_preguntas'!E4</f>
        <v/>
      </c>
      <c r="E4" s="6" t="n"/>
      <c r="F4" s="6" t="n"/>
      <c r="G4" s="14" t="n"/>
      <c r="H4" s="14" t="n"/>
      <c r="I4" s="15">
        <f>IF(OR($G4="",$H4=""),"",IF($H4="INVENTADA","ALUCINACION",IF($H4="NO_RESPONDE","SIN_RESPUESTA",IF(AND($G4="SI",$H4="LITERAL"),"ACIERTO",IF(OR($G4="NO",$G4="NO_CITA"),"FALLO","PARCIAL")))))</f>
        <v/>
      </c>
      <c r="J4" s="16">
        <f>IF($I4="","",IF($I4="ACIERTO",1,IF($I4="PARCIAL",0.5,IF($I4="ALUCINACION",-1,0))))</f>
        <v/>
      </c>
      <c r="K4" s="6" t="n"/>
    </row>
    <row r="5" ht="44" customHeight="1">
      <c r="A5" s="11">
        <f>'01_Banco_preguntas'!A5</f>
        <v/>
      </c>
      <c r="B5" s="11">
        <f>'01_Banco_preguntas'!B5</f>
        <v/>
      </c>
      <c r="C5" s="11">
        <f>'01_Banco_preguntas'!C5</f>
        <v/>
      </c>
      <c r="D5" s="11">
        <f>'01_Banco_preguntas'!D5&amp;" "&amp;'01_Banco_preguntas'!E5</f>
        <v/>
      </c>
      <c r="E5" s="6" t="n"/>
      <c r="F5" s="6" t="n"/>
      <c r="G5" s="14" t="n"/>
      <c r="H5" s="14" t="n"/>
      <c r="I5" s="15">
        <f>IF(OR($G5="",$H5=""),"",IF($H5="INVENTADA","ALUCINACION",IF($H5="NO_RESPONDE","SIN_RESPUESTA",IF(AND($G5="SI",$H5="LITERAL"),"ACIERTO",IF(OR($G5="NO",$G5="NO_CITA"),"FALLO","PARCIAL")))))</f>
        <v/>
      </c>
      <c r="J5" s="16">
        <f>IF($I5="","",IF($I5="ACIERTO",1,IF($I5="PARCIAL",0.5,IF($I5="ALUCINACION",-1,0))))</f>
        <v/>
      </c>
      <c r="K5" s="6" t="n"/>
    </row>
    <row r="6" ht="44" customHeight="1">
      <c r="A6" s="11">
        <f>'01_Banco_preguntas'!A6</f>
        <v/>
      </c>
      <c r="B6" s="11">
        <f>'01_Banco_preguntas'!B6</f>
        <v/>
      </c>
      <c r="C6" s="11">
        <f>'01_Banco_preguntas'!C6</f>
        <v/>
      </c>
      <c r="D6" s="11">
        <f>'01_Banco_preguntas'!D6&amp;" "&amp;'01_Banco_preguntas'!E6</f>
        <v/>
      </c>
      <c r="E6" s="6" t="n"/>
      <c r="F6" s="6" t="n"/>
      <c r="G6" s="14" t="n"/>
      <c r="H6" s="14" t="n"/>
      <c r="I6" s="15">
        <f>IF(OR($G6="",$H6=""),"",IF($H6="INVENTADA","ALUCINACION",IF($H6="NO_RESPONDE","SIN_RESPUESTA",IF(AND($G6="SI",$H6="LITERAL"),"ACIERTO",IF(OR($G6="NO",$G6="NO_CITA"),"FALLO","PARCIAL")))))</f>
        <v/>
      </c>
      <c r="J6" s="16">
        <f>IF($I6="","",IF($I6="ACIERTO",1,IF($I6="PARCIAL",0.5,IF($I6="ALUCINACION",-1,0))))</f>
        <v/>
      </c>
      <c r="K6" s="6" t="n"/>
    </row>
    <row r="7" ht="44" customHeight="1">
      <c r="A7" s="11">
        <f>'01_Banco_preguntas'!A7</f>
        <v/>
      </c>
      <c r="B7" s="11">
        <f>'01_Banco_preguntas'!B7</f>
        <v/>
      </c>
      <c r="C7" s="11">
        <f>'01_Banco_preguntas'!C7</f>
        <v/>
      </c>
      <c r="D7" s="11">
        <f>'01_Banco_preguntas'!D7&amp;" "&amp;'01_Banco_preguntas'!E7</f>
        <v/>
      </c>
      <c r="E7" s="6" t="n"/>
      <c r="F7" s="6" t="n"/>
      <c r="G7" s="14" t="n"/>
      <c r="H7" s="14" t="n"/>
      <c r="I7" s="15">
        <f>IF(OR($G7="",$H7=""),"",IF($H7="INVENTADA","ALUCINACION",IF($H7="NO_RESPONDE","SIN_RESPUESTA",IF(AND($G7="SI",$H7="LITERAL"),"ACIERTO",IF(OR($G7="NO",$G7="NO_CITA"),"FALLO","PARCIAL")))))</f>
        <v/>
      </c>
      <c r="J7" s="16">
        <f>IF($I7="","",IF($I7="ACIERTO",1,IF($I7="PARCIAL",0.5,IF($I7="ALUCINACION",-1,0))))</f>
        <v/>
      </c>
      <c r="K7" s="6" t="n"/>
    </row>
    <row r="8" ht="44" customHeight="1">
      <c r="A8" s="11">
        <f>'01_Banco_preguntas'!A8</f>
        <v/>
      </c>
      <c r="B8" s="11">
        <f>'01_Banco_preguntas'!B8</f>
        <v/>
      </c>
      <c r="C8" s="11">
        <f>'01_Banco_preguntas'!C8</f>
        <v/>
      </c>
      <c r="D8" s="11">
        <f>'01_Banco_preguntas'!D8&amp;" "&amp;'01_Banco_preguntas'!E8</f>
        <v/>
      </c>
      <c r="E8" s="6" t="n"/>
      <c r="F8" s="6" t="n"/>
      <c r="G8" s="14" t="n"/>
      <c r="H8" s="14" t="n"/>
      <c r="I8" s="15">
        <f>IF(OR($G8="",$H8=""),"",IF($H8="INVENTADA","ALUCINACION",IF($H8="NO_RESPONDE","SIN_RESPUESTA",IF(AND($G8="SI",$H8="LITERAL"),"ACIERTO",IF(OR($G8="NO",$G8="NO_CITA"),"FALLO","PARCIAL")))))</f>
        <v/>
      </c>
      <c r="J8" s="16">
        <f>IF($I8="","",IF($I8="ACIERTO",1,IF($I8="PARCIAL",0.5,IF($I8="ALUCINACION",-1,0))))</f>
        <v/>
      </c>
      <c r="K8" s="6" t="n"/>
    </row>
    <row r="9" ht="44" customHeight="1">
      <c r="A9" s="11">
        <f>'01_Banco_preguntas'!A9</f>
        <v/>
      </c>
      <c r="B9" s="11">
        <f>'01_Banco_preguntas'!B9</f>
        <v/>
      </c>
      <c r="C9" s="11">
        <f>'01_Banco_preguntas'!C9</f>
        <v/>
      </c>
      <c r="D9" s="11">
        <f>'01_Banco_preguntas'!D9&amp;" "&amp;'01_Banco_preguntas'!E9</f>
        <v/>
      </c>
      <c r="E9" s="6" t="n"/>
      <c r="F9" s="6" t="n"/>
      <c r="G9" s="14" t="n"/>
      <c r="H9" s="14" t="n"/>
      <c r="I9" s="15">
        <f>IF(OR($G9="",$H9=""),"",IF($H9="INVENTADA","ALUCINACION",IF($H9="NO_RESPONDE","SIN_RESPUESTA",IF(AND($G9="SI",$H9="LITERAL"),"ACIERTO",IF(OR($G9="NO",$G9="NO_CITA"),"FALLO","PARCIAL")))))</f>
        <v/>
      </c>
      <c r="J9" s="16">
        <f>IF($I9="","",IF($I9="ACIERTO",1,IF($I9="PARCIAL",0.5,IF($I9="ALUCINACION",-1,0))))</f>
        <v/>
      </c>
      <c r="K9" s="6" t="n"/>
    </row>
    <row r="10" ht="44" customHeight="1">
      <c r="A10" s="11">
        <f>'01_Banco_preguntas'!A10</f>
        <v/>
      </c>
      <c r="B10" s="11">
        <f>'01_Banco_preguntas'!B10</f>
        <v/>
      </c>
      <c r="C10" s="11">
        <f>'01_Banco_preguntas'!C10</f>
        <v/>
      </c>
      <c r="D10" s="11">
        <f>'01_Banco_preguntas'!D10&amp;" "&amp;'01_Banco_preguntas'!E10</f>
        <v/>
      </c>
      <c r="E10" s="6" t="n"/>
      <c r="F10" s="6" t="n"/>
      <c r="G10" s="14" t="n"/>
      <c r="H10" s="14" t="n"/>
      <c r="I10" s="15">
        <f>IF(OR($G10="",$H10=""),"",IF($H10="INVENTADA","ALUCINACION",IF($H10="NO_RESPONDE","SIN_RESPUESTA",IF(AND($G10="SI",$H10="LITERAL"),"ACIERTO",IF(OR($G10="NO",$G10="NO_CITA"),"FALLO","PARCIAL")))))</f>
        <v/>
      </c>
      <c r="J10" s="16">
        <f>IF($I10="","",IF($I10="ACIERTO",1,IF($I10="PARCIAL",0.5,IF($I10="ALUCINACION",-1,0))))</f>
        <v/>
      </c>
      <c r="K10" s="6" t="n"/>
    </row>
    <row r="11" ht="44" customHeight="1">
      <c r="A11" s="11">
        <f>'01_Banco_preguntas'!A11</f>
        <v/>
      </c>
      <c r="B11" s="11">
        <f>'01_Banco_preguntas'!B11</f>
        <v/>
      </c>
      <c r="C11" s="11">
        <f>'01_Banco_preguntas'!C11</f>
        <v/>
      </c>
      <c r="D11" s="11">
        <f>'01_Banco_preguntas'!D11&amp;" "&amp;'01_Banco_preguntas'!E11</f>
        <v/>
      </c>
      <c r="E11" s="6" t="n"/>
      <c r="F11" s="6" t="n"/>
      <c r="G11" s="14" t="n"/>
      <c r="H11" s="14" t="n"/>
      <c r="I11" s="15">
        <f>IF(OR($G11="",$H11=""),"",IF($H11="INVENTADA","ALUCINACION",IF($H11="NO_RESPONDE","SIN_RESPUESTA",IF(AND($G11="SI",$H11="LITERAL"),"ACIERTO",IF(OR($G11="NO",$G11="NO_CITA"),"FALLO","PARCIAL")))))</f>
        <v/>
      </c>
      <c r="J11" s="16">
        <f>IF($I11="","",IF($I11="ACIERTO",1,IF($I11="PARCIAL",0.5,IF($I11="ALUCINACION",-1,0))))</f>
        <v/>
      </c>
      <c r="K11" s="6" t="n"/>
    </row>
    <row r="12" ht="44" customHeight="1">
      <c r="A12" s="11">
        <f>'01_Banco_preguntas'!A12</f>
        <v/>
      </c>
      <c r="B12" s="11">
        <f>'01_Banco_preguntas'!B12</f>
        <v/>
      </c>
      <c r="C12" s="11">
        <f>'01_Banco_preguntas'!C12</f>
        <v/>
      </c>
      <c r="D12" s="11">
        <f>'01_Banco_preguntas'!D12&amp;" "&amp;'01_Banco_preguntas'!E12</f>
        <v/>
      </c>
      <c r="E12" s="6" t="n"/>
      <c r="F12" s="6" t="n"/>
      <c r="G12" s="14" t="n"/>
      <c r="H12" s="14" t="n"/>
      <c r="I12" s="15">
        <f>IF(OR($G12="",$H12=""),"",IF($H12="INVENTADA","ALUCINACION",IF($H12="NO_RESPONDE","SIN_RESPUESTA",IF(AND($G12="SI",$H12="LITERAL"),"ACIERTO",IF(OR($G12="NO",$G12="NO_CITA"),"FALLO","PARCIAL")))))</f>
        <v/>
      </c>
      <c r="J12" s="16">
        <f>IF($I12="","",IF($I12="ACIERTO",1,IF($I12="PARCIAL",0.5,IF($I12="ALUCINACION",-1,0))))</f>
        <v/>
      </c>
      <c r="K12" s="6" t="n"/>
    </row>
    <row r="13" ht="44" customHeight="1">
      <c r="A13" s="11">
        <f>'01_Banco_preguntas'!A13</f>
        <v/>
      </c>
      <c r="B13" s="11">
        <f>'01_Banco_preguntas'!B13</f>
        <v/>
      </c>
      <c r="C13" s="11">
        <f>'01_Banco_preguntas'!C13</f>
        <v/>
      </c>
      <c r="D13" s="11">
        <f>'01_Banco_preguntas'!D13&amp;" "&amp;'01_Banco_preguntas'!E13</f>
        <v/>
      </c>
      <c r="E13" s="6" t="n"/>
      <c r="F13" s="6" t="n"/>
      <c r="G13" s="14" t="n"/>
      <c r="H13" s="14" t="n"/>
      <c r="I13" s="15">
        <f>IF(OR($G13="",$H13=""),"",IF($H13="INVENTADA","ALUCINACION",IF($H13="NO_RESPONDE","SIN_RESPUESTA",IF(AND($G13="SI",$H13="LITERAL"),"ACIERTO",IF(OR($G13="NO",$G13="NO_CITA"),"FALLO","PARCIAL")))))</f>
        <v/>
      </c>
      <c r="J13" s="16">
        <f>IF($I13="","",IF($I13="ACIERTO",1,IF($I13="PARCIAL",0.5,IF($I13="ALUCINACION",-1,0))))</f>
        <v/>
      </c>
      <c r="K13" s="6" t="n"/>
    </row>
    <row r="14" ht="44" customHeight="1">
      <c r="A14" s="11">
        <f>'01_Banco_preguntas'!A14</f>
        <v/>
      </c>
      <c r="B14" s="11">
        <f>'01_Banco_preguntas'!B14</f>
        <v/>
      </c>
      <c r="C14" s="11">
        <f>'01_Banco_preguntas'!C14</f>
        <v/>
      </c>
      <c r="D14" s="11">
        <f>'01_Banco_preguntas'!D14&amp;" "&amp;'01_Banco_preguntas'!E14</f>
        <v/>
      </c>
      <c r="E14" s="6" t="n"/>
      <c r="F14" s="6" t="n"/>
      <c r="G14" s="14" t="n"/>
      <c r="H14" s="14" t="n"/>
      <c r="I14" s="15">
        <f>IF(OR($G14="",$H14=""),"",IF($H14="INVENTADA","ALUCINACION",IF($H14="NO_RESPONDE","SIN_RESPUESTA",IF(AND($G14="SI",$H14="LITERAL"),"ACIERTO",IF(OR($G14="NO",$G14="NO_CITA"),"FALLO","PARCIAL")))))</f>
        <v/>
      </c>
      <c r="J14" s="16">
        <f>IF($I14="","",IF($I14="ACIERTO",1,IF($I14="PARCIAL",0.5,IF($I14="ALUCINACION",-1,0))))</f>
        <v/>
      </c>
      <c r="K14" s="6" t="n"/>
    </row>
    <row r="15" ht="44" customHeight="1">
      <c r="A15" s="11">
        <f>'01_Banco_preguntas'!A15</f>
        <v/>
      </c>
      <c r="B15" s="11">
        <f>'01_Banco_preguntas'!B15</f>
        <v/>
      </c>
      <c r="C15" s="11">
        <f>'01_Banco_preguntas'!C15</f>
        <v/>
      </c>
      <c r="D15" s="11">
        <f>'01_Banco_preguntas'!D15&amp;" "&amp;'01_Banco_preguntas'!E15</f>
        <v/>
      </c>
      <c r="E15" s="6" t="n"/>
      <c r="F15" s="6" t="n"/>
      <c r="G15" s="14" t="n"/>
      <c r="H15" s="14" t="n"/>
      <c r="I15" s="15">
        <f>IF(OR($G15="",$H15=""),"",IF($H15="INVENTADA","ALUCINACION",IF($H15="NO_RESPONDE","SIN_RESPUESTA",IF(AND($G15="SI",$H15="LITERAL"),"ACIERTO",IF(OR($G15="NO",$G15="NO_CITA"),"FALLO","PARCIAL")))))</f>
        <v/>
      </c>
      <c r="J15" s="16">
        <f>IF($I15="","",IF($I15="ACIERTO",1,IF($I15="PARCIAL",0.5,IF($I15="ALUCINACION",-1,0))))</f>
        <v/>
      </c>
      <c r="K15" s="6" t="n"/>
    </row>
    <row r="16" ht="44" customHeight="1">
      <c r="A16" s="11">
        <f>'01_Banco_preguntas'!A16</f>
        <v/>
      </c>
      <c r="B16" s="11">
        <f>'01_Banco_preguntas'!B16</f>
        <v/>
      </c>
      <c r="C16" s="11">
        <f>'01_Banco_preguntas'!C16</f>
        <v/>
      </c>
      <c r="D16" s="11">
        <f>'01_Banco_preguntas'!D16&amp;" "&amp;'01_Banco_preguntas'!E16</f>
        <v/>
      </c>
      <c r="E16" s="6" t="n"/>
      <c r="F16" s="6" t="n"/>
      <c r="G16" s="14" t="n"/>
      <c r="H16" s="14" t="n"/>
      <c r="I16" s="15">
        <f>IF(OR($G16="",$H16=""),"",IF($H16="INVENTADA","ALUCINACION",IF($H16="NO_RESPONDE","SIN_RESPUESTA",IF(AND($G16="SI",$H16="LITERAL"),"ACIERTO",IF(OR($G16="NO",$G16="NO_CITA"),"FALLO","PARCIAL")))))</f>
        <v/>
      </c>
      <c r="J16" s="16">
        <f>IF($I16="","",IF($I16="ACIERTO",1,IF($I16="PARCIAL",0.5,IF($I16="ALUCINACION",-1,0))))</f>
        <v/>
      </c>
      <c r="K16" s="6" t="n"/>
    </row>
    <row r="17" ht="44" customHeight="1">
      <c r="A17" s="11">
        <f>'01_Banco_preguntas'!A17</f>
        <v/>
      </c>
      <c r="B17" s="11">
        <f>'01_Banco_preguntas'!B17</f>
        <v/>
      </c>
      <c r="C17" s="11">
        <f>'01_Banco_preguntas'!C17</f>
        <v/>
      </c>
      <c r="D17" s="11">
        <f>'01_Banco_preguntas'!D17&amp;" "&amp;'01_Banco_preguntas'!E17</f>
        <v/>
      </c>
      <c r="E17" s="6" t="n"/>
      <c r="F17" s="6" t="n"/>
      <c r="G17" s="14" t="n"/>
      <c r="H17" s="14" t="n"/>
      <c r="I17" s="15">
        <f>IF(OR($G17="",$H17=""),"",IF($H17="INVENTADA","ALUCINACION",IF($H17="NO_RESPONDE","SIN_RESPUESTA",IF(AND($G17="SI",$H17="LITERAL"),"ACIERTO",IF(OR($G17="NO",$G17="NO_CITA"),"FALLO","PARCIAL")))))</f>
        <v/>
      </c>
      <c r="J17" s="16">
        <f>IF($I17="","",IF($I17="ACIERTO",1,IF($I17="PARCIAL",0.5,IF($I17="ALUCINACION",-1,0))))</f>
        <v/>
      </c>
      <c r="K17" s="6" t="n"/>
    </row>
    <row r="18" ht="44" customHeight="1">
      <c r="A18" s="11">
        <f>'01_Banco_preguntas'!A18</f>
        <v/>
      </c>
      <c r="B18" s="11">
        <f>'01_Banco_preguntas'!B18</f>
        <v/>
      </c>
      <c r="C18" s="11">
        <f>'01_Banco_preguntas'!C18</f>
        <v/>
      </c>
      <c r="D18" s="11">
        <f>'01_Banco_preguntas'!D18&amp;" "&amp;'01_Banco_preguntas'!E18</f>
        <v/>
      </c>
      <c r="E18" s="6" t="n"/>
      <c r="F18" s="6" t="n"/>
      <c r="G18" s="14" t="n"/>
      <c r="H18" s="14" t="n"/>
      <c r="I18" s="15">
        <f>IF(OR($G18="",$H18=""),"",IF($H18="INVENTADA","ALUCINACION",IF($H18="NO_RESPONDE","SIN_RESPUESTA",IF(AND($G18="SI",$H18="LITERAL"),"ACIERTO",IF(OR($G18="NO",$G18="NO_CITA"),"FALLO","PARCIAL")))))</f>
        <v/>
      </c>
      <c r="J18" s="16">
        <f>IF($I18="","",IF($I18="ACIERTO",1,IF($I18="PARCIAL",0.5,IF($I18="ALUCINACION",-1,0))))</f>
        <v/>
      </c>
      <c r="K18" s="6" t="n"/>
    </row>
    <row r="19" ht="44" customHeight="1">
      <c r="A19" s="11">
        <f>'01_Banco_preguntas'!A19</f>
        <v/>
      </c>
      <c r="B19" s="11">
        <f>'01_Banco_preguntas'!B19</f>
        <v/>
      </c>
      <c r="C19" s="11">
        <f>'01_Banco_preguntas'!C19</f>
        <v/>
      </c>
      <c r="D19" s="11">
        <f>'01_Banco_preguntas'!D19&amp;" "&amp;'01_Banco_preguntas'!E19</f>
        <v/>
      </c>
      <c r="E19" s="6" t="n"/>
      <c r="F19" s="6" t="n"/>
      <c r="G19" s="14" t="n"/>
      <c r="H19" s="14" t="n"/>
      <c r="I19" s="15">
        <f>IF(OR($G19="",$H19=""),"",IF($H19="INVENTADA","ALUCINACION",IF($H19="NO_RESPONDE","SIN_RESPUESTA",IF(AND($G19="SI",$H19="LITERAL"),"ACIERTO",IF(OR($G19="NO",$G19="NO_CITA"),"FALLO","PARCIAL")))))</f>
        <v/>
      </c>
      <c r="J19" s="16">
        <f>IF($I19="","",IF($I19="ACIERTO",1,IF($I19="PARCIAL",0.5,IF($I19="ALUCINACION",-1,0))))</f>
        <v/>
      </c>
      <c r="K19" s="6" t="n"/>
    </row>
    <row r="20" ht="44" customHeight="1">
      <c r="A20" s="11">
        <f>'01_Banco_preguntas'!A20</f>
        <v/>
      </c>
      <c r="B20" s="11">
        <f>'01_Banco_preguntas'!B20</f>
        <v/>
      </c>
      <c r="C20" s="11">
        <f>'01_Banco_preguntas'!C20</f>
        <v/>
      </c>
      <c r="D20" s="11">
        <f>'01_Banco_preguntas'!D20&amp;" "&amp;'01_Banco_preguntas'!E20</f>
        <v/>
      </c>
      <c r="E20" s="6" t="n"/>
      <c r="F20" s="6" t="n"/>
      <c r="G20" s="14" t="n"/>
      <c r="H20" s="14" t="n"/>
      <c r="I20" s="15">
        <f>IF(OR($G20="",$H20=""),"",IF($H20="INVENTADA","ALUCINACION",IF($H20="NO_RESPONDE","SIN_RESPUESTA",IF(AND($G20="SI",$H20="LITERAL"),"ACIERTO",IF(OR($G20="NO",$G20="NO_CITA"),"FALLO","PARCIAL")))))</f>
        <v/>
      </c>
      <c r="J20" s="16">
        <f>IF($I20="","",IF($I20="ACIERTO",1,IF($I20="PARCIAL",0.5,IF($I20="ALUCINACION",-1,0))))</f>
        <v/>
      </c>
      <c r="K20" s="6" t="n"/>
    </row>
    <row r="21" ht="44" customHeight="1">
      <c r="A21" s="11">
        <f>'01_Banco_preguntas'!A21</f>
        <v/>
      </c>
      <c r="B21" s="11">
        <f>'01_Banco_preguntas'!B21</f>
        <v/>
      </c>
      <c r="C21" s="11">
        <f>'01_Banco_preguntas'!C21</f>
        <v/>
      </c>
      <c r="D21" s="11">
        <f>'01_Banco_preguntas'!D21&amp;" "&amp;'01_Banco_preguntas'!E21</f>
        <v/>
      </c>
      <c r="E21" s="6" t="n"/>
      <c r="F21" s="6" t="n"/>
      <c r="G21" s="14" t="n"/>
      <c r="H21" s="14" t="n"/>
      <c r="I21" s="15">
        <f>IF(OR($G21="",$H21=""),"",IF($H21="INVENTADA","ALUCINACION",IF($H21="NO_RESPONDE","SIN_RESPUESTA",IF(AND($G21="SI",$H21="LITERAL"),"ACIERTO",IF(OR($G21="NO",$G21="NO_CITA"),"FALLO","PARCIAL")))))</f>
        <v/>
      </c>
      <c r="J21" s="16">
        <f>IF($I21="","",IF($I21="ACIERTO",1,IF($I21="PARCIAL",0.5,IF($I21="ALUCINACION",-1,0))))</f>
        <v/>
      </c>
      <c r="K21" s="6" t="n"/>
    </row>
    <row r="22" ht="44" customHeight="1">
      <c r="A22" s="11">
        <f>'01_Banco_preguntas'!A22</f>
        <v/>
      </c>
      <c r="B22" s="11">
        <f>'01_Banco_preguntas'!B22</f>
        <v/>
      </c>
      <c r="C22" s="11">
        <f>'01_Banco_preguntas'!C22</f>
        <v/>
      </c>
      <c r="D22" s="11">
        <f>'01_Banco_preguntas'!D22&amp;" "&amp;'01_Banco_preguntas'!E22</f>
        <v/>
      </c>
      <c r="E22" s="6" t="n"/>
      <c r="F22" s="6" t="n"/>
      <c r="G22" s="14" t="n"/>
      <c r="H22" s="14" t="n"/>
      <c r="I22" s="15">
        <f>IF(OR($G22="",$H22=""),"",IF($H22="INVENTADA","ALUCINACION",IF($H22="NO_RESPONDE","SIN_RESPUESTA",IF(AND($G22="SI",$H22="LITERAL"),"ACIERTO",IF(OR($G22="NO",$G22="NO_CITA"),"FALLO","PARCIAL")))))</f>
        <v/>
      </c>
      <c r="J22" s="16">
        <f>IF($I22="","",IF($I22="ACIERTO",1,IF($I22="PARCIAL",0.5,IF($I22="ALUCINACION",-1,0))))</f>
        <v/>
      </c>
      <c r="K22" s="6" t="n"/>
    </row>
    <row r="23" ht="44" customHeight="1">
      <c r="A23" s="11">
        <f>'01_Banco_preguntas'!A23</f>
        <v/>
      </c>
      <c r="B23" s="11">
        <f>'01_Banco_preguntas'!B23</f>
        <v/>
      </c>
      <c r="C23" s="11">
        <f>'01_Banco_preguntas'!C23</f>
        <v/>
      </c>
      <c r="D23" s="11">
        <f>'01_Banco_preguntas'!D23&amp;" "&amp;'01_Banco_preguntas'!E23</f>
        <v/>
      </c>
      <c r="E23" s="6" t="n"/>
      <c r="F23" s="6" t="n"/>
      <c r="G23" s="14" t="n"/>
      <c r="H23" s="14" t="n"/>
      <c r="I23" s="15">
        <f>IF(OR($G23="",$H23=""),"",IF($H23="INVENTADA","ALUCINACION",IF($H23="NO_RESPONDE","SIN_RESPUESTA",IF(AND($G23="SI",$H23="LITERAL"),"ACIERTO",IF(OR($G23="NO",$G23="NO_CITA"),"FALLO","PARCIAL")))))</f>
        <v/>
      </c>
      <c r="J23" s="16">
        <f>IF($I23="","",IF($I23="ACIERTO",1,IF($I23="PARCIAL",0.5,IF($I23="ALUCINACION",-1,0))))</f>
        <v/>
      </c>
      <c r="K23" s="6" t="n"/>
    </row>
    <row r="24" ht="44" customHeight="1">
      <c r="A24" s="11">
        <f>'01_Banco_preguntas'!A24</f>
        <v/>
      </c>
      <c r="B24" s="11">
        <f>'01_Banco_preguntas'!B24</f>
        <v/>
      </c>
      <c r="C24" s="11">
        <f>'01_Banco_preguntas'!C24</f>
        <v/>
      </c>
      <c r="D24" s="11">
        <f>'01_Banco_preguntas'!D24&amp;" "&amp;'01_Banco_preguntas'!E24</f>
        <v/>
      </c>
      <c r="E24" s="6" t="n"/>
      <c r="F24" s="6" t="n"/>
      <c r="G24" s="14" t="n"/>
      <c r="H24" s="14" t="n"/>
      <c r="I24" s="15">
        <f>IF(OR($G24="",$H24=""),"",IF($H24="INVENTADA","ALUCINACION",IF($H24="NO_RESPONDE","SIN_RESPUESTA",IF(AND($G24="SI",$H24="LITERAL"),"ACIERTO",IF(OR($G24="NO",$G24="NO_CITA"),"FALLO","PARCIAL")))))</f>
        <v/>
      </c>
      <c r="J24" s="16">
        <f>IF($I24="","",IF($I24="ACIERTO",1,IF($I24="PARCIAL",0.5,IF($I24="ALUCINACION",-1,0))))</f>
        <v/>
      </c>
      <c r="K24" s="6" t="n"/>
    </row>
    <row r="25" ht="44" customHeight="1">
      <c r="A25" s="11">
        <f>'01_Banco_preguntas'!A25</f>
        <v/>
      </c>
      <c r="B25" s="11">
        <f>'01_Banco_preguntas'!B25</f>
        <v/>
      </c>
      <c r="C25" s="11">
        <f>'01_Banco_preguntas'!C25</f>
        <v/>
      </c>
      <c r="D25" s="11">
        <f>'01_Banco_preguntas'!D25&amp;" "&amp;'01_Banco_preguntas'!E25</f>
        <v/>
      </c>
      <c r="E25" s="6" t="n"/>
      <c r="F25" s="6" t="n"/>
      <c r="G25" s="14" t="n"/>
      <c r="H25" s="14" t="n"/>
      <c r="I25" s="15">
        <f>IF(OR($G25="",$H25=""),"",IF($H25="INVENTADA","ALUCINACION",IF($H25="NO_RESPONDE","SIN_RESPUESTA",IF(AND($G25="SI",$H25="LITERAL"),"ACIERTO",IF(OR($G25="NO",$G25="NO_CITA"),"FALLO","PARCIAL")))))</f>
        <v/>
      </c>
      <c r="J25" s="16">
        <f>IF($I25="","",IF($I25="ACIERTO",1,IF($I25="PARCIAL",0.5,IF($I25="ALUCINACION",-1,0))))</f>
        <v/>
      </c>
      <c r="K25" s="6" t="n"/>
    </row>
    <row r="26" ht="44" customHeight="1">
      <c r="A26" s="11">
        <f>'01_Banco_preguntas'!A26</f>
        <v/>
      </c>
      <c r="B26" s="11">
        <f>'01_Banco_preguntas'!B26</f>
        <v/>
      </c>
      <c r="C26" s="11">
        <f>'01_Banco_preguntas'!C26</f>
        <v/>
      </c>
      <c r="D26" s="11">
        <f>'01_Banco_preguntas'!D26&amp;" "&amp;'01_Banco_preguntas'!E26</f>
        <v/>
      </c>
      <c r="E26" s="6" t="n"/>
      <c r="F26" s="6" t="n"/>
      <c r="G26" s="14" t="n"/>
      <c r="H26" s="14" t="n"/>
      <c r="I26" s="15">
        <f>IF(OR($G26="",$H26=""),"",IF($H26="INVENTADA","ALUCINACION",IF($H26="NO_RESPONDE","SIN_RESPUESTA",IF(AND($G26="SI",$H26="LITERAL"),"ACIERTO",IF(OR($G26="NO",$G26="NO_CITA"),"FALLO","PARCIAL")))))</f>
        <v/>
      </c>
      <c r="J26" s="16">
        <f>IF($I26="","",IF($I26="ACIERTO",1,IF($I26="PARCIAL",0.5,IF($I26="ALUCINACION",-1,0))))</f>
        <v/>
      </c>
      <c r="K26" s="6" t="n"/>
    </row>
    <row r="27" ht="44" customHeight="1">
      <c r="A27" s="11">
        <f>'01_Banco_preguntas'!A27</f>
        <v/>
      </c>
      <c r="B27" s="11">
        <f>'01_Banco_preguntas'!B27</f>
        <v/>
      </c>
      <c r="C27" s="11">
        <f>'01_Banco_preguntas'!C27</f>
        <v/>
      </c>
      <c r="D27" s="11">
        <f>'01_Banco_preguntas'!D27&amp;" "&amp;'01_Banco_preguntas'!E27</f>
        <v/>
      </c>
      <c r="E27" s="6" t="n"/>
      <c r="F27" s="6" t="n"/>
      <c r="G27" s="14" t="n"/>
      <c r="H27" s="14" t="n"/>
      <c r="I27" s="15">
        <f>IF(OR($G27="",$H27=""),"",IF($H27="INVENTADA","ALUCINACION",IF($H27="NO_RESPONDE","SIN_RESPUESTA",IF(AND($G27="SI",$H27="LITERAL"),"ACIERTO",IF(OR($G27="NO",$G27="NO_CITA"),"FALLO","PARCIAL")))))</f>
        <v/>
      </c>
      <c r="J27" s="16">
        <f>IF($I27="","",IF($I27="ACIERTO",1,IF($I27="PARCIAL",0.5,IF($I27="ALUCINACION",-1,0))))</f>
        <v/>
      </c>
      <c r="K27" s="6" t="n"/>
    </row>
    <row r="28" ht="44" customHeight="1">
      <c r="A28" s="11">
        <f>'01_Banco_preguntas'!A28</f>
        <v/>
      </c>
      <c r="B28" s="11">
        <f>'01_Banco_preguntas'!B28</f>
        <v/>
      </c>
      <c r="C28" s="11">
        <f>'01_Banco_preguntas'!C28</f>
        <v/>
      </c>
      <c r="D28" s="11">
        <f>'01_Banco_preguntas'!D28&amp;" "&amp;'01_Banco_preguntas'!E28</f>
        <v/>
      </c>
      <c r="E28" s="6" t="n"/>
      <c r="F28" s="6" t="n"/>
      <c r="G28" s="14" t="n"/>
      <c r="H28" s="14" t="n"/>
      <c r="I28" s="15">
        <f>IF(OR($G28="",$H28=""),"",IF($H28="INVENTADA","ALUCINACION",IF($H28="NO_RESPONDE","SIN_RESPUESTA",IF(AND($G28="SI",$H28="LITERAL"),"ACIERTO",IF(OR($G28="NO",$G28="NO_CITA"),"FALLO","PARCIAL")))))</f>
        <v/>
      </c>
      <c r="J28" s="16">
        <f>IF($I28="","",IF($I28="ACIERTO",1,IF($I28="PARCIAL",0.5,IF($I28="ALUCINACION",-1,0))))</f>
        <v/>
      </c>
      <c r="K28" s="6" t="n"/>
    </row>
    <row r="29" ht="44" customHeight="1">
      <c r="A29" s="11">
        <f>'01_Banco_preguntas'!A29</f>
        <v/>
      </c>
      <c r="B29" s="11">
        <f>'01_Banco_preguntas'!B29</f>
        <v/>
      </c>
      <c r="C29" s="11">
        <f>'01_Banco_preguntas'!C29</f>
        <v/>
      </c>
      <c r="D29" s="11">
        <f>'01_Banco_preguntas'!D29&amp;" "&amp;'01_Banco_preguntas'!E29</f>
        <v/>
      </c>
      <c r="E29" s="6" t="n"/>
      <c r="F29" s="6" t="n"/>
      <c r="G29" s="14" t="n"/>
      <c r="H29" s="14" t="n"/>
      <c r="I29" s="15">
        <f>IF(OR($G29="",$H29=""),"",IF($H29="INVENTADA","ALUCINACION",IF($H29="NO_RESPONDE","SIN_RESPUESTA",IF(AND($G29="SI",$H29="LITERAL"),"ACIERTO",IF(OR($G29="NO",$G29="NO_CITA"),"FALLO","PARCIAL")))))</f>
        <v/>
      </c>
      <c r="J29" s="16">
        <f>IF($I29="","",IF($I29="ACIERTO",1,IF($I29="PARCIAL",0.5,IF($I29="ALUCINACION",-1,0))))</f>
        <v/>
      </c>
      <c r="K29" s="6" t="n"/>
    </row>
    <row r="30" ht="44" customHeight="1">
      <c r="A30" s="11">
        <f>'01_Banco_preguntas'!A30</f>
        <v/>
      </c>
      <c r="B30" s="11">
        <f>'01_Banco_preguntas'!B30</f>
        <v/>
      </c>
      <c r="C30" s="11">
        <f>'01_Banco_preguntas'!C30</f>
        <v/>
      </c>
      <c r="D30" s="11">
        <f>'01_Banco_preguntas'!D30&amp;" "&amp;'01_Banco_preguntas'!E30</f>
        <v/>
      </c>
      <c r="E30" s="6" t="n"/>
      <c r="F30" s="6" t="n"/>
      <c r="G30" s="14" t="n"/>
      <c r="H30" s="14" t="n"/>
      <c r="I30" s="15">
        <f>IF(OR($G30="",$H30=""),"",IF($H30="INVENTADA","ALUCINACION",IF($H30="NO_RESPONDE","SIN_RESPUESTA",IF(AND($G30="SI",$H30="LITERAL"),"ACIERTO",IF(OR($G30="NO",$G30="NO_CITA"),"FALLO","PARCIAL")))))</f>
        <v/>
      </c>
      <c r="J30" s="16">
        <f>IF($I30="","",IF($I30="ACIERTO",1,IF($I30="PARCIAL",0.5,IF($I30="ALUCINACION",-1,0))))</f>
        <v/>
      </c>
      <c r="K30" s="6" t="n"/>
    </row>
    <row r="31" ht="44" customHeight="1">
      <c r="A31" s="11">
        <f>'01_Banco_preguntas'!A31</f>
        <v/>
      </c>
      <c r="B31" s="11">
        <f>'01_Banco_preguntas'!B31</f>
        <v/>
      </c>
      <c r="C31" s="11">
        <f>'01_Banco_preguntas'!C31</f>
        <v/>
      </c>
      <c r="D31" s="11">
        <f>'01_Banco_preguntas'!D31&amp;" "&amp;'01_Banco_preguntas'!E31</f>
        <v/>
      </c>
      <c r="E31" s="6" t="n"/>
      <c r="F31" s="6" t="n"/>
      <c r="G31" s="14" t="n"/>
      <c r="H31" s="14" t="n"/>
      <c r="I31" s="15">
        <f>IF(OR($G31="",$H31=""),"",IF($H31="INVENTADA","ALUCINACION",IF($H31="NO_RESPONDE","SIN_RESPUESTA",IF(AND($G31="SI",$H31="LITERAL"),"ACIERTO",IF(OR($G31="NO",$G31="NO_CITA"),"FALLO","PARCIAL")))))</f>
        <v/>
      </c>
      <c r="J31" s="16">
        <f>IF($I31="","",IF($I31="ACIERTO",1,IF($I31="PARCIAL",0.5,IF($I31="ALUCINACION",-1,0))))</f>
        <v/>
      </c>
      <c r="K31" s="6" t="n"/>
    </row>
    <row r="32" ht="44" customHeight="1">
      <c r="A32" s="11">
        <f>'01_Banco_preguntas'!A32</f>
        <v/>
      </c>
      <c r="B32" s="11">
        <f>'01_Banco_preguntas'!B32</f>
        <v/>
      </c>
      <c r="C32" s="11">
        <f>'01_Banco_preguntas'!C32</f>
        <v/>
      </c>
      <c r="D32" s="11">
        <f>'01_Banco_preguntas'!D32&amp;" "&amp;'01_Banco_preguntas'!E32</f>
        <v/>
      </c>
      <c r="E32" s="6" t="n"/>
      <c r="F32" s="6" t="n"/>
      <c r="G32" s="14" t="n"/>
      <c r="H32" s="14" t="n"/>
      <c r="I32" s="15">
        <f>IF(OR($G32="",$H32=""),"",IF($H32="INVENTADA","ALUCINACION",IF($H32="NO_RESPONDE","SIN_RESPUESTA",IF(AND($G32="SI",$H32="LITERAL"),"ACIERTO",IF(OR($G32="NO",$G32="NO_CITA"),"FALLO","PARCIAL")))))</f>
        <v/>
      </c>
      <c r="J32" s="16">
        <f>IF($I32="","",IF($I32="ACIERTO",1,IF($I32="PARCIAL",0.5,IF($I32="ALUCINACION",-1,0))))</f>
        <v/>
      </c>
      <c r="K32" s="6" t="n"/>
    </row>
    <row r="33" ht="44" customHeight="1">
      <c r="A33" s="11">
        <f>'01_Banco_preguntas'!A33</f>
        <v/>
      </c>
      <c r="B33" s="11">
        <f>'01_Banco_preguntas'!B33</f>
        <v/>
      </c>
      <c r="C33" s="11">
        <f>'01_Banco_preguntas'!C33</f>
        <v/>
      </c>
      <c r="D33" s="11">
        <f>'01_Banco_preguntas'!D33&amp;" "&amp;'01_Banco_preguntas'!E33</f>
        <v/>
      </c>
      <c r="E33" s="6" t="n"/>
      <c r="F33" s="6" t="n"/>
      <c r="G33" s="14" t="n"/>
      <c r="H33" s="14" t="n"/>
      <c r="I33" s="15">
        <f>IF(OR($G33="",$H33=""),"",IF($H33="INVENTADA","ALUCINACION",IF($H33="NO_RESPONDE","SIN_RESPUESTA",IF(AND($G33="SI",$H33="LITERAL"),"ACIERTO",IF(OR($G33="NO",$G33="NO_CITA"),"FALLO","PARCIAL")))))</f>
        <v/>
      </c>
      <c r="J33" s="16">
        <f>IF($I33="","",IF($I33="ACIERTO",1,IF($I33="PARCIAL",0.5,IF($I33="ALUCINACION",-1,0))))</f>
        <v/>
      </c>
      <c r="K33" s="6" t="n"/>
    </row>
    <row r="34" ht="44" customHeight="1">
      <c r="A34" s="11">
        <f>'01_Banco_preguntas'!A34</f>
        <v/>
      </c>
      <c r="B34" s="11">
        <f>'01_Banco_preguntas'!B34</f>
        <v/>
      </c>
      <c r="C34" s="11">
        <f>'01_Banco_preguntas'!C34</f>
        <v/>
      </c>
      <c r="D34" s="11">
        <f>'01_Banco_preguntas'!D34&amp;" "&amp;'01_Banco_preguntas'!E34</f>
        <v/>
      </c>
      <c r="E34" s="6" t="n"/>
      <c r="F34" s="6" t="n"/>
      <c r="G34" s="14" t="n"/>
      <c r="H34" s="14" t="n"/>
      <c r="I34" s="15">
        <f>IF(OR($G34="",$H34=""),"",IF($H34="INVENTADA","ALUCINACION",IF($H34="NO_RESPONDE","SIN_RESPUESTA",IF(AND($G34="SI",$H34="LITERAL"),"ACIERTO",IF(OR($G34="NO",$G34="NO_CITA"),"FALLO","PARCIAL")))))</f>
        <v/>
      </c>
      <c r="J34" s="16">
        <f>IF($I34="","",IF($I34="ACIERTO",1,IF($I34="PARCIAL",0.5,IF($I34="ALUCINACION",-1,0))))</f>
        <v/>
      </c>
      <c r="K34" s="6" t="n"/>
    </row>
    <row r="35" ht="44" customHeight="1">
      <c r="A35" s="11">
        <f>'01_Banco_preguntas'!A35</f>
        <v/>
      </c>
      <c r="B35" s="11">
        <f>'01_Banco_preguntas'!B35</f>
        <v/>
      </c>
      <c r="C35" s="11">
        <f>'01_Banco_preguntas'!C35</f>
        <v/>
      </c>
      <c r="D35" s="11">
        <f>'01_Banco_preguntas'!D35&amp;" "&amp;'01_Banco_preguntas'!E35</f>
        <v/>
      </c>
      <c r="E35" s="6" t="n"/>
      <c r="F35" s="6" t="n"/>
      <c r="G35" s="14" t="n"/>
      <c r="H35" s="14" t="n"/>
      <c r="I35" s="15">
        <f>IF(OR($G35="",$H35=""),"",IF($H35="INVENTADA","ALUCINACION",IF($H35="NO_RESPONDE","SIN_RESPUESTA",IF(AND($G35="SI",$H35="LITERAL"),"ACIERTO",IF(OR($G35="NO",$G35="NO_CITA"),"FALLO","PARCIAL")))))</f>
        <v/>
      </c>
      <c r="J35" s="16">
        <f>IF($I35="","",IF($I35="ACIERTO",1,IF($I35="PARCIAL",0.5,IF($I35="ALUCINACION",-1,0))))</f>
        <v/>
      </c>
      <c r="K35" s="6" t="n"/>
    </row>
    <row r="36" ht="44" customHeight="1">
      <c r="A36" s="11">
        <f>'01_Banco_preguntas'!A36</f>
        <v/>
      </c>
      <c r="B36" s="11">
        <f>'01_Banco_preguntas'!B36</f>
        <v/>
      </c>
      <c r="C36" s="11">
        <f>'01_Banco_preguntas'!C36</f>
        <v/>
      </c>
      <c r="D36" s="11">
        <f>'01_Banco_preguntas'!D36&amp;" "&amp;'01_Banco_preguntas'!E36</f>
        <v/>
      </c>
      <c r="E36" s="6" t="n"/>
      <c r="F36" s="6" t="n"/>
      <c r="G36" s="14" t="n"/>
      <c r="H36" s="14" t="n"/>
      <c r="I36" s="15">
        <f>IF(OR($G36="",$H36=""),"",IF($H36="INVENTADA","ALUCINACION",IF($H36="NO_RESPONDE","SIN_RESPUESTA",IF(AND($G36="SI",$H36="LITERAL"),"ACIERTO",IF(OR($G36="NO",$G36="NO_CITA"),"FALLO","PARCIAL")))))</f>
        <v/>
      </c>
      <c r="J36" s="16">
        <f>IF($I36="","",IF($I36="ACIERTO",1,IF($I36="PARCIAL",0.5,IF($I36="ALUCINACION",-1,0))))</f>
        <v/>
      </c>
      <c r="K36" s="6" t="n"/>
    </row>
    <row r="37" ht="44" customHeight="1">
      <c r="A37" s="11">
        <f>'01_Banco_preguntas'!A37</f>
        <v/>
      </c>
      <c r="B37" s="11">
        <f>'01_Banco_preguntas'!B37</f>
        <v/>
      </c>
      <c r="C37" s="11">
        <f>'01_Banco_preguntas'!C37</f>
        <v/>
      </c>
      <c r="D37" s="11">
        <f>'01_Banco_preguntas'!D37&amp;" "&amp;'01_Banco_preguntas'!E37</f>
        <v/>
      </c>
      <c r="E37" s="6" t="n"/>
      <c r="F37" s="6" t="n"/>
      <c r="G37" s="14" t="n"/>
      <c r="H37" s="14" t="n"/>
      <c r="I37" s="15">
        <f>IF(OR($G37="",$H37=""),"",IF($H37="INVENTADA","ALUCINACION",IF($H37="NO_RESPONDE","SIN_RESPUESTA",IF(AND($G37="SI",$H37="LITERAL"),"ACIERTO",IF(OR($G37="NO",$G37="NO_CITA"),"FALLO","PARCIAL")))))</f>
        <v/>
      </c>
      <c r="J37" s="16">
        <f>IF($I37="","",IF($I37="ACIERTO",1,IF($I37="PARCIAL",0.5,IF($I37="ALUCINACION",-1,0))))</f>
        <v/>
      </c>
      <c r="K37" s="6" t="n"/>
    </row>
    <row r="38" ht="44" customHeight="1">
      <c r="A38" s="11">
        <f>'01_Banco_preguntas'!A38</f>
        <v/>
      </c>
      <c r="B38" s="11">
        <f>'01_Banco_preguntas'!B38</f>
        <v/>
      </c>
      <c r="C38" s="11">
        <f>'01_Banco_preguntas'!C38</f>
        <v/>
      </c>
      <c r="D38" s="11">
        <f>'01_Banco_preguntas'!D38&amp;" "&amp;'01_Banco_preguntas'!E38</f>
        <v/>
      </c>
      <c r="E38" s="6" t="n"/>
      <c r="F38" s="6" t="n"/>
      <c r="G38" s="14" t="n"/>
      <c r="H38" s="14" t="n"/>
      <c r="I38" s="15">
        <f>IF(OR($G38="",$H38=""),"",IF($H38="INVENTADA","ALUCINACION",IF($H38="NO_RESPONDE","SIN_RESPUESTA",IF(AND($G38="SI",$H38="LITERAL"),"ACIERTO",IF(OR($G38="NO",$G38="NO_CITA"),"FALLO","PARCIAL")))))</f>
        <v/>
      </c>
      <c r="J38" s="16">
        <f>IF($I38="","",IF($I38="ACIERTO",1,IF($I38="PARCIAL",0.5,IF($I38="ALUCINACION",-1,0))))</f>
        <v/>
      </c>
      <c r="K38" s="6" t="n"/>
    </row>
    <row r="39" ht="44" customHeight="1">
      <c r="A39" s="11">
        <f>'01_Banco_preguntas'!A39</f>
        <v/>
      </c>
      <c r="B39" s="11">
        <f>'01_Banco_preguntas'!B39</f>
        <v/>
      </c>
      <c r="C39" s="11">
        <f>'01_Banco_preguntas'!C39</f>
        <v/>
      </c>
      <c r="D39" s="11">
        <f>'01_Banco_preguntas'!D39&amp;" "&amp;'01_Banco_preguntas'!E39</f>
        <v/>
      </c>
      <c r="E39" s="6" t="n"/>
      <c r="F39" s="6" t="n"/>
      <c r="G39" s="14" t="n"/>
      <c r="H39" s="14" t="n"/>
      <c r="I39" s="15">
        <f>IF(OR($G39="",$H39=""),"",IF($H39="INVENTADA","ALUCINACION",IF($H39="NO_RESPONDE","SIN_RESPUESTA",IF(AND($G39="SI",$H39="LITERAL"),"ACIERTO",IF(OR($G39="NO",$G39="NO_CITA"),"FALLO","PARCIAL")))))</f>
        <v/>
      </c>
      <c r="J39" s="16">
        <f>IF($I39="","",IF($I39="ACIERTO",1,IF($I39="PARCIAL",0.5,IF($I39="ALUCINACION",-1,0))))</f>
        <v/>
      </c>
      <c r="K39" s="6" t="n"/>
    </row>
    <row r="40" ht="44" customHeight="1">
      <c r="A40" s="11">
        <f>'01_Banco_preguntas'!A40</f>
        <v/>
      </c>
      <c r="B40" s="11">
        <f>'01_Banco_preguntas'!B40</f>
        <v/>
      </c>
      <c r="C40" s="11">
        <f>'01_Banco_preguntas'!C40</f>
        <v/>
      </c>
      <c r="D40" s="11">
        <f>'01_Banco_preguntas'!D40&amp;" "&amp;'01_Banco_preguntas'!E40</f>
        <v/>
      </c>
      <c r="E40" s="6" t="n"/>
      <c r="F40" s="6" t="n"/>
      <c r="G40" s="14" t="n"/>
      <c r="H40" s="14" t="n"/>
      <c r="I40" s="15">
        <f>IF(OR($G40="",$H40=""),"",IF($H40="INVENTADA","ALUCINACION",IF($H40="NO_RESPONDE","SIN_RESPUESTA",IF(AND($G40="SI",$H40="LITERAL"),"ACIERTO",IF(OR($G40="NO",$G40="NO_CITA"),"FALLO","PARCIAL")))))</f>
        <v/>
      </c>
      <c r="J40" s="16">
        <f>IF($I40="","",IF($I40="ACIERTO",1,IF($I40="PARCIAL",0.5,IF($I40="ALUCINACION",-1,0))))</f>
        <v/>
      </c>
      <c r="K40" s="6" t="n"/>
    </row>
    <row r="41" ht="44" customHeight="1">
      <c r="A41" s="11">
        <f>'01_Banco_preguntas'!A41</f>
        <v/>
      </c>
      <c r="B41" s="11">
        <f>'01_Banco_preguntas'!B41</f>
        <v/>
      </c>
      <c r="C41" s="11">
        <f>'01_Banco_preguntas'!C41</f>
        <v/>
      </c>
      <c r="D41" s="11">
        <f>'01_Banco_preguntas'!D41&amp;" "&amp;'01_Banco_preguntas'!E41</f>
        <v/>
      </c>
      <c r="E41" s="6" t="n"/>
      <c r="F41" s="6" t="n"/>
      <c r="G41" s="14" t="n"/>
      <c r="H41" s="14" t="n"/>
      <c r="I41" s="15">
        <f>IF(OR($G41="",$H41=""),"",IF($H41="INVENTADA","ALUCINACION",IF($H41="NO_RESPONDE","SIN_RESPUESTA",IF(AND($G41="SI",$H41="LITERAL"),"ACIERTO",IF(OR($G41="NO",$G41="NO_CITA"),"FALLO","PARCIAL")))))</f>
        <v/>
      </c>
      <c r="J41" s="16">
        <f>IF($I41="","",IF($I41="ACIERTO",1,IF($I41="PARCIAL",0.5,IF($I41="ALUCINACION",-1,0))))</f>
        <v/>
      </c>
      <c r="K41" s="6" t="n"/>
    </row>
    <row r="42" ht="44" customHeight="1">
      <c r="A42" s="11">
        <f>'01_Banco_preguntas'!A42</f>
        <v/>
      </c>
      <c r="B42" s="11">
        <f>'01_Banco_preguntas'!B42</f>
        <v/>
      </c>
      <c r="C42" s="11">
        <f>'01_Banco_preguntas'!C42</f>
        <v/>
      </c>
      <c r="D42" s="11">
        <f>'01_Banco_preguntas'!D42&amp;" "&amp;'01_Banco_preguntas'!E42</f>
        <v/>
      </c>
      <c r="E42" s="6" t="n"/>
      <c r="F42" s="6" t="n"/>
      <c r="G42" s="14" t="n"/>
      <c r="H42" s="14" t="n"/>
      <c r="I42" s="15">
        <f>IF(OR($G42="",$H42=""),"",IF($H42="INVENTADA","ALUCINACION",IF($H42="NO_RESPONDE","SIN_RESPUESTA",IF(AND($G42="SI",$H42="LITERAL"),"ACIERTO",IF(OR($G42="NO",$G42="NO_CITA"),"FALLO","PARCIAL")))))</f>
        <v/>
      </c>
      <c r="J42" s="16">
        <f>IF($I42="","",IF($I42="ACIERTO",1,IF($I42="PARCIAL",0.5,IF($I42="ALUCINACION",-1,0))))</f>
        <v/>
      </c>
      <c r="K42" s="6" t="n"/>
    </row>
    <row r="43" ht="44" customHeight="1">
      <c r="A43" s="11">
        <f>'01_Banco_preguntas'!A43</f>
        <v/>
      </c>
      <c r="B43" s="11">
        <f>'01_Banco_preguntas'!B43</f>
        <v/>
      </c>
      <c r="C43" s="11">
        <f>'01_Banco_preguntas'!C43</f>
        <v/>
      </c>
      <c r="D43" s="11">
        <f>'01_Banco_preguntas'!D43&amp;" "&amp;'01_Banco_preguntas'!E43</f>
        <v/>
      </c>
      <c r="E43" s="6" t="n"/>
      <c r="F43" s="6" t="n"/>
      <c r="G43" s="14" t="n"/>
      <c r="H43" s="14" t="n"/>
      <c r="I43" s="15">
        <f>IF(OR($G43="",$H43=""),"",IF($H43="INVENTADA","ALUCINACION",IF($H43="NO_RESPONDE","SIN_RESPUESTA",IF(AND($G43="SI",$H43="LITERAL"),"ACIERTO",IF(OR($G43="NO",$G43="NO_CITA"),"FALLO","PARCIAL")))))</f>
        <v/>
      </c>
      <c r="J43" s="16">
        <f>IF($I43="","",IF($I43="ACIERTO",1,IF($I43="PARCIAL",0.5,IF($I43="ALUCINACION",-1,0))))</f>
        <v/>
      </c>
      <c r="K43" s="6" t="n"/>
    </row>
    <row r="44" ht="44" customHeight="1">
      <c r="A44" s="11">
        <f>'01_Banco_preguntas'!A44</f>
        <v/>
      </c>
      <c r="B44" s="11">
        <f>'01_Banco_preguntas'!B44</f>
        <v/>
      </c>
      <c r="C44" s="11">
        <f>'01_Banco_preguntas'!C44</f>
        <v/>
      </c>
      <c r="D44" s="11">
        <f>'01_Banco_preguntas'!D44&amp;" "&amp;'01_Banco_preguntas'!E44</f>
        <v/>
      </c>
      <c r="E44" s="6" t="n"/>
      <c r="F44" s="6" t="n"/>
      <c r="G44" s="14" t="n"/>
      <c r="H44" s="14" t="n"/>
      <c r="I44" s="15">
        <f>IF(OR($G44="",$H44=""),"",IF($H44="INVENTADA","ALUCINACION",IF($H44="NO_RESPONDE","SIN_RESPUESTA",IF(AND($G44="SI",$H44="LITERAL"),"ACIERTO",IF(OR($G44="NO",$G44="NO_CITA"),"FALLO","PARCIAL")))))</f>
        <v/>
      </c>
      <c r="J44" s="16">
        <f>IF($I44="","",IF($I44="ACIERTO",1,IF($I44="PARCIAL",0.5,IF($I44="ALUCINACION",-1,0))))</f>
        <v/>
      </c>
      <c r="K44" s="6" t="n"/>
    </row>
    <row r="45" ht="44" customHeight="1">
      <c r="A45" s="11">
        <f>'01_Banco_preguntas'!A45</f>
        <v/>
      </c>
      <c r="B45" s="11">
        <f>'01_Banco_preguntas'!B45</f>
        <v/>
      </c>
      <c r="C45" s="11">
        <f>'01_Banco_preguntas'!C45</f>
        <v/>
      </c>
      <c r="D45" s="11">
        <f>'01_Banco_preguntas'!D45&amp;" "&amp;'01_Banco_preguntas'!E45</f>
        <v/>
      </c>
      <c r="E45" s="6" t="n"/>
      <c r="F45" s="6" t="n"/>
      <c r="G45" s="14" t="n"/>
      <c r="H45" s="14" t="n"/>
      <c r="I45" s="15">
        <f>IF(OR($G45="",$H45=""),"",IF($H45="INVENTADA","ALUCINACION",IF($H45="NO_RESPONDE","SIN_RESPUESTA",IF(AND($G45="SI",$H45="LITERAL"),"ACIERTO",IF(OR($G45="NO",$G45="NO_CITA"),"FALLO","PARCIAL")))))</f>
        <v/>
      </c>
      <c r="J45" s="16">
        <f>IF($I45="","",IF($I45="ACIERTO",1,IF($I45="PARCIAL",0.5,IF($I45="ALUCINACION",-1,0))))</f>
        <v/>
      </c>
      <c r="K45" s="6" t="n"/>
    </row>
    <row r="46" ht="44" customHeight="1">
      <c r="A46" s="11">
        <f>'01_Banco_preguntas'!A46</f>
        <v/>
      </c>
      <c r="B46" s="11">
        <f>'01_Banco_preguntas'!B46</f>
        <v/>
      </c>
      <c r="C46" s="11">
        <f>'01_Banco_preguntas'!C46</f>
        <v/>
      </c>
      <c r="D46" s="11">
        <f>'01_Banco_preguntas'!D46&amp;" "&amp;'01_Banco_preguntas'!E46</f>
        <v/>
      </c>
      <c r="E46" s="6" t="n"/>
      <c r="F46" s="6" t="n"/>
      <c r="G46" s="14" t="n"/>
      <c r="H46" s="14" t="n"/>
      <c r="I46" s="15">
        <f>IF(OR($G46="",$H46=""),"",IF($H46="INVENTADA","ALUCINACION",IF($H46="NO_RESPONDE","SIN_RESPUESTA",IF(AND($G46="SI",$H46="LITERAL"),"ACIERTO",IF(OR($G46="NO",$G46="NO_CITA"),"FALLO","PARCIAL")))))</f>
        <v/>
      </c>
      <c r="J46" s="16">
        <f>IF($I46="","",IF($I46="ACIERTO",1,IF($I46="PARCIAL",0.5,IF($I46="ALUCINACION",-1,0))))</f>
        <v/>
      </c>
      <c r="K46" s="6" t="n"/>
    </row>
    <row r="47" ht="44" customHeight="1">
      <c r="A47" s="11">
        <f>'01_Banco_preguntas'!A47</f>
        <v/>
      </c>
      <c r="B47" s="11">
        <f>'01_Banco_preguntas'!B47</f>
        <v/>
      </c>
      <c r="C47" s="11">
        <f>'01_Banco_preguntas'!C47</f>
        <v/>
      </c>
      <c r="D47" s="11">
        <f>'01_Banco_preguntas'!D47&amp;" "&amp;'01_Banco_preguntas'!E47</f>
        <v/>
      </c>
      <c r="E47" s="6" t="n"/>
      <c r="F47" s="6" t="n"/>
      <c r="G47" s="14" t="n"/>
      <c r="H47" s="14" t="n"/>
      <c r="I47" s="15">
        <f>IF(OR($G47="",$H47=""),"",IF($H47="INVENTADA","ALUCINACION",IF($H47="NO_RESPONDE","SIN_RESPUESTA",IF(AND($G47="SI",$H47="LITERAL"),"ACIERTO",IF(OR($G47="NO",$G47="NO_CITA"),"FALLO","PARCIAL")))))</f>
        <v/>
      </c>
      <c r="J47" s="16">
        <f>IF($I47="","",IF($I47="ACIERTO",1,IF($I47="PARCIAL",0.5,IF($I47="ALUCINACION",-1,0))))</f>
        <v/>
      </c>
      <c r="K47" s="6" t="n"/>
    </row>
    <row r="48" ht="44" customHeight="1">
      <c r="A48" s="11">
        <f>'01_Banco_preguntas'!A48</f>
        <v/>
      </c>
      <c r="B48" s="11">
        <f>'01_Banco_preguntas'!B48</f>
        <v/>
      </c>
      <c r="C48" s="11">
        <f>'01_Banco_preguntas'!C48</f>
        <v/>
      </c>
      <c r="D48" s="11">
        <f>'01_Banco_preguntas'!D48&amp;" "&amp;'01_Banco_preguntas'!E48</f>
        <v/>
      </c>
      <c r="E48" s="6" t="n"/>
      <c r="F48" s="6" t="n"/>
      <c r="G48" s="14" t="n"/>
      <c r="H48" s="14" t="n"/>
      <c r="I48" s="15">
        <f>IF(OR($G48="",$H48=""),"",IF($H48="INVENTADA","ALUCINACION",IF($H48="NO_RESPONDE","SIN_RESPUESTA",IF(AND($G48="SI",$H48="LITERAL"),"ACIERTO",IF(OR($G48="NO",$G48="NO_CITA"),"FALLO","PARCIAL")))))</f>
        <v/>
      </c>
      <c r="J48" s="16">
        <f>IF($I48="","",IF($I48="ACIERTO",1,IF($I48="PARCIAL",0.5,IF($I48="ALUCINACION",-1,0))))</f>
        <v/>
      </c>
      <c r="K48" s="6" t="n"/>
    </row>
    <row r="49" ht="44" customHeight="1">
      <c r="A49" s="11">
        <f>'01_Banco_preguntas'!A49</f>
        <v/>
      </c>
      <c r="B49" s="11">
        <f>'01_Banco_preguntas'!B49</f>
        <v/>
      </c>
      <c r="C49" s="11">
        <f>'01_Banco_preguntas'!C49</f>
        <v/>
      </c>
      <c r="D49" s="11">
        <f>'01_Banco_preguntas'!D49&amp;" "&amp;'01_Banco_preguntas'!E49</f>
        <v/>
      </c>
      <c r="E49" s="6" t="n"/>
      <c r="F49" s="6" t="n"/>
      <c r="G49" s="14" t="n"/>
      <c r="H49" s="14" t="n"/>
      <c r="I49" s="15">
        <f>IF(OR($G49="",$H49=""),"",IF($H49="INVENTADA","ALUCINACION",IF($H49="NO_RESPONDE","SIN_RESPUESTA",IF(AND($G49="SI",$H49="LITERAL"),"ACIERTO",IF(OR($G49="NO",$G49="NO_CITA"),"FALLO","PARCIAL")))))</f>
        <v/>
      </c>
      <c r="J49" s="16">
        <f>IF($I49="","",IF($I49="ACIERTO",1,IF($I49="PARCIAL",0.5,IF($I49="ALUCINACION",-1,0))))</f>
        <v/>
      </c>
      <c r="K49" s="6" t="n"/>
    </row>
    <row r="50" ht="44" customHeight="1">
      <c r="A50" s="11">
        <f>'01_Banco_preguntas'!A50</f>
        <v/>
      </c>
      <c r="B50" s="11">
        <f>'01_Banco_preguntas'!B50</f>
        <v/>
      </c>
      <c r="C50" s="11">
        <f>'01_Banco_preguntas'!C50</f>
        <v/>
      </c>
      <c r="D50" s="11">
        <f>'01_Banco_preguntas'!D50&amp;" "&amp;'01_Banco_preguntas'!E50</f>
        <v/>
      </c>
      <c r="E50" s="6" t="n"/>
      <c r="F50" s="6" t="n"/>
      <c r="G50" s="14" t="n"/>
      <c r="H50" s="14" t="n"/>
      <c r="I50" s="15">
        <f>IF(OR($G50="",$H50=""),"",IF($H50="INVENTADA","ALUCINACION",IF($H50="NO_RESPONDE","SIN_RESPUESTA",IF(AND($G50="SI",$H50="LITERAL"),"ACIERTO",IF(OR($G50="NO",$G50="NO_CITA"),"FALLO","PARCIAL")))))</f>
        <v/>
      </c>
      <c r="J50" s="16">
        <f>IF($I50="","",IF($I50="ACIERTO",1,IF($I50="PARCIAL",0.5,IF($I50="ALUCINACION",-1,0))))</f>
        <v/>
      </c>
      <c r="K50" s="6" t="n"/>
    </row>
    <row r="51" ht="44" customHeight="1">
      <c r="A51" s="11">
        <f>'01_Banco_preguntas'!A51</f>
        <v/>
      </c>
      <c r="B51" s="11">
        <f>'01_Banco_preguntas'!B51</f>
        <v/>
      </c>
      <c r="C51" s="11">
        <f>'01_Banco_preguntas'!C51</f>
        <v/>
      </c>
      <c r="D51" s="11">
        <f>'01_Banco_preguntas'!D51&amp;" "&amp;'01_Banco_preguntas'!E51</f>
        <v/>
      </c>
      <c r="E51" s="6" t="n"/>
      <c r="F51" s="6" t="n"/>
      <c r="G51" s="14" t="n"/>
      <c r="H51" s="14" t="n"/>
      <c r="I51" s="15">
        <f>IF(OR($G51="",$H51=""),"",IF($H51="INVENTADA","ALUCINACION",IF($H51="NO_RESPONDE","SIN_RESPUESTA",IF(AND($G51="SI",$H51="LITERAL"),"ACIERTO",IF(OR($G51="NO",$G51="NO_CITA"),"FALLO","PARCIAL")))))</f>
        <v/>
      </c>
      <c r="J51" s="16">
        <f>IF($I51="","",IF($I51="ACIERTO",1,IF($I51="PARCIAL",0.5,IF($I51="ALUCINACION",-1,0))))</f>
        <v/>
      </c>
      <c r="K51" s="6" t="n"/>
    </row>
  </sheetData>
  <autoFilter ref="A1:K51"/>
  <dataValidations count="2">
    <dataValidation sqref="G2:G51" showDropDown="0" showInputMessage="0" showErrorMessage="0" allowBlank="1" type="list">
      <formula1>"SI,PARCIAL,NO,NO_CITA"</formula1>
    </dataValidation>
    <dataValidation sqref="H2:H51" showDropDown="0" showInputMessage="0" showErrorMessage="0" allowBlank="1" type="list">
      <formula1>"LITERAL,PARCIAL,INVENTADA,NO_RESPONDE"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52" customWidth="1" min="3" max="3"/>
    <col width="34" customWidth="1" min="4" max="4"/>
    <col width="60" customWidth="1" min="5" max="5"/>
    <col width="26" customWidth="1" min="6" max="6"/>
    <col width="12" customWidth="1" min="7" max="7"/>
    <col width="14" customWidth="1" min="8" max="8"/>
    <col width="16" customWidth="1" min="9" max="9"/>
    <col width="8" customWidth="1" min="10" max="10"/>
    <col width="40" customWidth="1" min="11" max="11"/>
  </cols>
  <sheetData>
    <row r="1">
      <c r="A1" s="10" t="inlineStr">
        <is>
          <t>id</t>
        </is>
      </c>
      <c r="B1" s="10" t="inlineStr">
        <is>
          <t>categoria</t>
        </is>
      </c>
      <c r="C1" s="10" t="inlineStr">
        <is>
          <t>pregunta</t>
        </is>
      </c>
      <c r="D1" s="10" t="inlineStr">
        <is>
          <t>doc_esperado</t>
        </is>
      </c>
      <c r="E1" s="10" t="inlineStr">
        <is>
          <t>respuesta_de_lucia</t>
        </is>
      </c>
      <c r="F1" s="10" t="inlineStr">
        <is>
          <t>doc_citado_por_lucia</t>
        </is>
      </c>
      <c r="G1" s="10" t="inlineStr">
        <is>
          <t>cita_ok</t>
        </is>
      </c>
      <c r="H1" s="10" t="inlineStr">
        <is>
          <t>exactitud</t>
        </is>
      </c>
      <c r="I1" s="10" t="inlineStr">
        <is>
          <t>veredicto</t>
        </is>
      </c>
      <c r="J1" s="10" t="inlineStr">
        <is>
          <t>puntos</t>
        </is>
      </c>
      <c r="K1" s="10" t="inlineStr">
        <is>
          <t>observaciones</t>
        </is>
      </c>
    </row>
    <row r="2" ht="44" customHeight="1">
      <c r="A2" s="11">
        <f>'01_Banco_preguntas'!A2</f>
        <v/>
      </c>
      <c r="B2" s="11">
        <f>'01_Banco_preguntas'!B2</f>
        <v/>
      </c>
      <c r="C2" s="11">
        <f>'01_Banco_preguntas'!C2</f>
        <v/>
      </c>
      <c r="D2" s="11">
        <f>'01_Banco_preguntas'!D2&amp;" "&amp;'01_Banco_preguntas'!E2</f>
        <v/>
      </c>
      <c r="E2" s="6" t="n"/>
      <c r="F2" s="6" t="n"/>
      <c r="G2" s="14" t="n"/>
      <c r="H2" s="14" t="n"/>
      <c r="I2" s="15">
        <f>IF(OR($G2="",$H2=""),"",IF($H2="INVENTADA","ALUCINACION",IF($H2="NO_RESPONDE","SIN_RESPUESTA",IF(AND($G2="SI",$H2="LITERAL"),"ACIERTO",IF(OR($G2="NO",$G2="NO_CITA"),"FALLO","PARCIAL")))))</f>
        <v/>
      </c>
      <c r="J2" s="16">
        <f>IF($I2="","",IF($I2="ACIERTO",1,IF($I2="PARCIAL",0.5,IF($I2="ALUCINACION",-1,0))))</f>
        <v/>
      </c>
      <c r="K2" s="6" t="n"/>
    </row>
    <row r="3" ht="44" customHeight="1">
      <c r="A3" s="11">
        <f>'01_Banco_preguntas'!A3</f>
        <v/>
      </c>
      <c r="B3" s="11">
        <f>'01_Banco_preguntas'!B3</f>
        <v/>
      </c>
      <c r="C3" s="11">
        <f>'01_Banco_preguntas'!C3</f>
        <v/>
      </c>
      <c r="D3" s="11">
        <f>'01_Banco_preguntas'!D3&amp;" "&amp;'01_Banco_preguntas'!E3</f>
        <v/>
      </c>
      <c r="E3" s="6" t="n"/>
      <c r="F3" s="6" t="n"/>
      <c r="G3" s="14" t="n"/>
      <c r="H3" s="14" t="n"/>
      <c r="I3" s="15">
        <f>IF(OR($G3="",$H3=""),"",IF($H3="INVENTADA","ALUCINACION",IF($H3="NO_RESPONDE","SIN_RESPUESTA",IF(AND($G3="SI",$H3="LITERAL"),"ACIERTO",IF(OR($G3="NO",$G3="NO_CITA"),"FALLO","PARCIAL")))))</f>
        <v/>
      </c>
      <c r="J3" s="16">
        <f>IF($I3="","",IF($I3="ACIERTO",1,IF($I3="PARCIAL",0.5,IF($I3="ALUCINACION",-1,0))))</f>
        <v/>
      </c>
      <c r="K3" s="6" t="n"/>
    </row>
    <row r="4" ht="44" customHeight="1">
      <c r="A4" s="11">
        <f>'01_Banco_preguntas'!A4</f>
        <v/>
      </c>
      <c r="B4" s="11">
        <f>'01_Banco_preguntas'!B4</f>
        <v/>
      </c>
      <c r="C4" s="11">
        <f>'01_Banco_preguntas'!C4</f>
        <v/>
      </c>
      <c r="D4" s="11">
        <f>'01_Banco_preguntas'!D4&amp;" "&amp;'01_Banco_preguntas'!E4</f>
        <v/>
      </c>
      <c r="E4" s="6" t="n"/>
      <c r="F4" s="6" t="n"/>
      <c r="G4" s="14" t="n"/>
      <c r="H4" s="14" t="n"/>
      <c r="I4" s="15">
        <f>IF(OR($G4="",$H4=""),"",IF($H4="INVENTADA","ALUCINACION",IF($H4="NO_RESPONDE","SIN_RESPUESTA",IF(AND($G4="SI",$H4="LITERAL"),"ACIERTO",IF(OR($G4="NO",$G4="NO_CITA"),"FALLO","PARCIAL")))))</f>
        <v/>
      </c>
      <c r="J4" s="16">
        <f>IF($I4="","",IF($I4="ACIERTO",1,IF($I4="PARCIAL",0.5,IF($I4="ALUCINACION",-1,0))))</f>
        <v/>
      </c>
      <c r="K4" s="6" t="n"/>
    </row>
    <row r="5" ht="44" customHeight="1">
      <c r="A5" s="11">
        <f>'01_Banco_preguntas'!A5</f>
        <v/>
      </c>
      <c r="B5" s="11">
        <f>'01_Banco_preguntas'!B5</f>
        <v/>
      </c>
      <c r="C5" s="11">
        <f>'01_Banco_preguntas'!C5</f>
        <v/>
      </c>
      <c r="D5" s="11">
        <f>'01_Banco_preguntas'!D5&amp;" "&amp;'01_Banco_preguntas'!E5</f>
        <v/>
      </c>
      <c r="E5" s="6" t="n"/>
      <c r="F5" s="6" t="n"/>
      <c r="G5" s="14" t="n"/>
      <c r="H5" s="14" t="n"/>
      <c r="I5" s="15">
        <f>IF(OR($G5="",$H5=""),"",IF($H5="INVENTADA","ALUCINACION",IF($H5="NO_RESPONDE","SIN_RESPUESTA",IF(AND($G5="SI",$H5="LITERAL"),"ACIERTO",IF(OR($G5="NO",$G5="NO_CITA"),"FALLO","PARCIAL")))))</f>
        <v/>
      </c>
      <c r="J5" s="16">
        <f>IF($I5="","",IF($I5="ACIERTO",1,IF($I5="PARCIAL",0.5,IF($I5="ALUCINACION",-1,0))))</f>
        <v/>
      </c>
      <c r="K5" s="6" t="n"/>
    </row>
    <row r="6" ht="44" customHeight="1">
      <c r="A6" s="11">
        <f>'01_Banco_preguntas'!A6</f>
        <v/>
      </c>
      <c r="B6" s="11">
        <f>'01_Banco_preguntas'!B6</f>
        <v/>
      </c>
      <c r="C6" s="11">
        <f>'01_Banco_preguntas'!C6</f>
        <v/>
      </c>
      <c r="D6" s="11">
        <f>'01_Banco_preguntas'!D6&amp;" "&amp;'01_Banco_preguntas'!E6</f>
        <v/>
      </c>
      <c r="E6" s="6" t="n"/>
      <c r="F6" s="6" t="n"/>
      <c r="G6" s="14" t="n"/>
      <c r="H6" s="14" t="n"/>
      <c r="I6" s="15">
        <f>IF(OR($G6="",$H6=""),"",IF($H6="INVENTADA","ALUCINACION",IF($H6="NO_RESPONDE","SIN_RESPUESTA",IF(AND($G6="SI",$H6="LITERAL"),"ACIERTO",IF(OR($G6="NO",$G6="NO_CITA"),"FALLO","PARCIAL")))))</f>
        <v/>
      </c>
      <c r="J6" s="16">
        <f>IF($I6="","",IF($I6="ACIERTO",1,IF($I6="PARCIAL",0.5,IF($I6="ALUCINACION",-1,0))))</f>
        <v/>
      </c>
      <c r="K6" s="6" t="n"/>
    </row>
    <row r="7" ht="44" customHeight="1">
      <c r="A7" s="11">
        <f>'01_Banco_preguntas'!A7</f>
        <v/>
      </c>
      <c r="B7" s="11">
        <f>'01_Banco_preguntas'!B7</f>
        <v/>
      </c>
      <c r="C7" s="11">
        <f>'01_Banco_preguntas'!C7</f>
        <v/>
      </c>
      <c r="D7" s="11">
        <f>'01_Banco_preguntas'!D7&amp;" "&amp;'01_Banco_preguntas'!E7</f>
        <v/>
      </c>
      <c r="E7" s="6" t="n"/>
      <c r="F7" s="6" t="n"/>
      <c r="G7" s="14" t="n"/>
      <c r="H7" s="14" t="n"/>
      <c r="I7" s="15">
        <f>IF(OR($G7="",$H7=""),"",IF($H7="INVENTADA","ALUCINACION",IF($H7="NO_RESPONDE","SIN_RESPUESTA",IF(AND($G7="SI",$H7="LITERAL"),"ACIERTO",IF(OR($G7="NO",$G7="NO_CITA"),"FALLO","PARCIAL")))))</f>
        <v/>
      </c>
      <c r="J7" s="16">
        <f>IF($I7="","",IF($I7="ACIERTO",1,IF($I7="PARCIAL",0.5,IF($I7="ALUCINACION",-1,0))))</f>
        <v/>
      </c>
      <c r="K7" s="6" t="n"/>
    </row>
    <row r="8" ht="44" customHeight="1">
      <c r="A8" s="11">
        <f>'01_Banco_preguntas'!A8</f>
        <v/>
      </c>
      <c r="B8" s="11">
        <f>'01_Banco_preguntas'!B8</f>
        <v/>
      </c>
      <c r="C8" s="11">
        <f>'01_Banco_preguntas'!C8</f>
        <v/>
      </c>
      <c r="D8" s="11">
        <f>'01_Banco_preguntas'!D8&amp;" "&amp;'01_Banco_preguntas'!E8</f>
        <v/>
      </c>
      <c r="E8" s="6" t="n"/>
      <c r="F8" s="6" t="n"/>
      <c r="G8" s="14" t="n"/>
      <c r="H8" s="14" t="n"/>
      <c r="I8" s="15">
        <f>IF(OR($G8="",$H8=""),"",IF($H8="INVENTADA","ALUCINACION",IF($H8="NO_RESPONDE","SIN_RESPUESTA",IF(AND($G8="SI",$H8="LITERAL"),"ACIERTO",IF(OR($G8="NO",$G8="NO_CITA"),"FALLO","PARCIAL")))))</f>
        <v/>
      </c>
      <c r="J8" s="16">
        <f>IF($I8="","",IF($I8="ACIERTO",1,IF($I8="PARCIAL",0.5,IF($I8="ALUCINACION",-1,0))))</f>
        <v/>
      </c>
      <c r="K8" s="6" t="n"/>
    </row>
    <row r="9" ht="44" customHeight="1">
      <c r="A9" s="11">
        <f>'01_Banco_preguntas'!A9</f>
        <v/>
      </c>
      <c r="B9" s="11">
        <f>'01_Banco_preguntas'!B9</f>
        <v/>
      </c>
      <c r="C9" s="11">
        <f>'01_Banco_preguntas'!C9</f>
        <v/>
      </c>
      <c r="D9" s="11">
        <f>'01_Banco_preguntas'!D9&amp;" "&amp;'01_Banco_preguntas'!E9</f>
        <v/>
      </c>
      <c r="E9" s="6" t="n"/>
      <c r="F9" s="6" t="n"/>
      <c r="G9" s="14" t="n"/>
      <c r="H9" s="14" t="n"/>
      <c r="I9" s="15">
        <f>IF(OR($G9="",$H9=""),"",IF($H9="INVENTADA","ALUCINACION",IF($H9="NO_RESPONDE","SIN_RESPUESTA",IF(AND($G9="SI",$H9="LITERAL"),"ACIERTO",IF(OR($G9="NO",$G9="NO_CITA"),"FALLO","PARCIAL")))))</f>
        <v/>
      </c>
      <c r="J9" s="16">
        <f>IF($I9="","",IF($I9="ACIERTO",1,IF($I9="PARCIAL",0.5,IF($I9="ALUCINACION",-1,0))))</f>
        <v/>
      </c>
      <c r="K9" s="6" t="n"/>
    </row>
    <row r="10" ht="44" customHeight="1">
      <c r="A10" s="11">
        <f>'01_Banco_preguntas'!A10</f>
        <v/>
      </c>
      <c r="B10" s="11">
        <f>'01_Banco_preguntas'!B10</f>
        <v/>
      </c>
      <c r="C10" s="11">
        <f>'01_Banco_preguntas'!C10</f>
        <v/>
      </c>
      <c r="D10" s="11">
        <f>'01_Banco_preguntas'!D10&amp;" "&amp;'01_Banco_preguntas'!E10</f>
        <v/>
      </c>
      <c r="E10" s="6" t="n"/>
      <c r="F10" s="6" t="n"/>
      <c r="G10" s="14" t="n"/>
      <c r="H10" s="14" t="n"/>
      <c r="I10" s="15">
        <f>IF(OR($G10="",$H10=""),"",IF($H10="INVENTADA","ALUCINACION",IF($H10="NO_RESPONDE","SIN_RESPUESTA",IF(AND($G10="SI",$H10="LITERAL"),"ACIERTO",IF(OR($G10="NO",$G10="NO_CITA"),"FALLO","PARCIAL")))))</f>
        <v/>
      </c>
      <c r="J10" s="16">
        <f>IF($I10="","",IF($I10="ACIERTO",1,IF($I10="PARCIAL",0.5,IF($I10="ALUCINACION",-1,0))))</f>
        <v/>
      </c>
      <c r="K10" s="6" t="n"/>
    </row>
    <row r="11" ht="44" customHeight="1">
      <c r="A11" s="11">
        <f>'01_Banco_preguntas'!A11</f>
        <v/>
      </c>
      <c r="B11" s="11">
        <f>'01_Banco_preguntas'!B11</f>
        <v/>
      </c>
      <c r="C11" s="11">
        <f>'01_Banco_preguntas'!C11</f>
        <v/>
      </c>
      <c r="D11" s="11">
        <f>'01_Banco_preguntas'!D11&amp;" "&amp;'01_Banco_preguntas'!E11</f>
        <v/>
      </c>
      <c r="E11" s="6" t="n"/>
      <c r="F11" s="6" t="n"/>
      <c r="G11" s="14" t="n"/>
      <c r="H11" s="14" t="n"/>
      <c r="I11" s="15">
        <f>IF(OR($G11="",$H11=""),"",IF($H11="INVENTADA","ALUCINACION",IF($H11="NO_RESPONDE","SIN_RESPUESTA",IF(AND($G11="SI",$H11="LITERAL"),"ACIERTO",IF(OR($G11="NO",$G11="NO_CITA"),"FALLO","PARCIAL")))))</f>
        <v/>
      </c>
      <c r="J11" s="16">
        <f>IF($I11="","",IF($I11="ACIERTO",1,IF($I11="PARCIAL",0.5,IF($I11="ALUCINACION",-1,0))))</f>
        <v/>
      </c>
      <c r="K11" s="6" t="n"/>
    </row>
    <row r="12" ht="44" customHeight="1">
      <c r="A12" s="11">
        <f>'01_Banco_preguntas'!A12</f>
        <v/>
      </c>
      <c r="B12" s="11">
        <f>'01_Banco_preguntas'!B12</f>
        <v/>
      </c>
      <c r="C12" s="11">
        <f>'01_Banco_preguntas'!C12</f>
        <v/>
      </c>
      <c r="D12" s="11">
        <f>'01_Banco_preguntas'!D12&amp;" "&amp;'01_Banco_preguntas'!E12</f>
        <v/>
      </c>
      <c r="E12" s="6" t="n"/>
      <c r="F12" s="6" t="n"/>
      <c r="G12" s="14" t="n"/>
      <c r="H12" s="14" t="n"/>
      <c r="I12" s="15">
        <f>IF(OR($G12="",$H12=""),"",IF($H12="INVENTADA","ALUCINACION",IF($H12="NO_RESPONDE","SIN_RESPUESTA",IF(AND($G12="SI",$H12="LITERAL"),"ACIERTO",IF(OR($G12="NO",$G12="NO_CITA"),"FALLO","PARCIAL")))))</f>
        <v/>
      </c>
      <c r="J12" s="16">
        <f>IF($I12="","",IF($I12="ACIERTO",1,IF($I12="PARCIAL",0.5,IF($I12="ALUCINACION",-1,0))))</f>
        <v/>
      </c>
      <c r="K12" s="6" t="n"/>
    </row>
    <row r="13" ht="44" customHeight="1">
      <c r="A13" s="11">
        <f>'01_Banco_preguntas'!A13</f>
        <v/>
      </c>
      <c r="B13" s="11">
        <f>'01_Banco_preguntas'!B13</f>
        <v/>
      </c>
      <c r="C13" s="11">
        <f>'01_Banco_preguntas'!C13</f>
        <v/>
      </c>
      <c r="D13" s="11">
        <f>'01_Banco_preguntas'!D13&amp;" "&amp;'01_Banco_preguntas'!E13</f>
        <v/>
      </c>
      <c r="E13" s="6" t="n"/>
      <c r="F13" s="6" t="n"/>
      <c r="G13" s="14" t="n"/>
      <c r="H13" s="14" t="n"/>
      <c r="I13" s="15">
        <f>IF(OR($G13="",$H13=""),"",IF($H13="INVENTADA","ALUCINACION",IF($H13="NO_RESPONDE","SIN_RESPUESTA",IF(AND($G13="SI",$H13="LITERAL"),"ACIERTO",IF(OR($G13="NO",$G13="NO_CITA"),"FALLO","PARCIAL")))))</f>
        <v/>
      </c>
      <c r="J13" s="16">
        <f>IF($I13="","",IF($I13="ACIERTO",1,IF($I13="PARCIAL",0.5,IF($I13="ALUCINACION",-1,0))))</f>
        <v/>
      </c>
      <c r="K13" s="6" t="n"/>
    </row>
    <row r="14" ht="44" customHeight="1">
      <c r="A14" s="11">
        <f>'01_Banco_preguntas'!A14</f>
        <v/>
      </c>
      <c r="B14" s="11">
        <f>'01_Banco_preguntas'!B14</f>
        <v/>
      </c>
      <c r="C14" s="11">
        <f>'01_Banco_preguntas'!C14</f>
        <v/>
      </c>
      <c r="D14" s="11">
        <f>'01_Banco_preguntas'!D14&amp;" "&amp;'01_Banco_preguntas'!E14</f>
        <v/>
      </c>
      <c r="E14" s="6" t="n"/>
      <c r="F14" s="6" t="n"/>
      <c r="G14" s="14" t="n"/>
      <c r="H14" s="14" t="n"/>
      <c r="I14" s="15">
        <f>IF(OR($G14="",$H14=""),"",IF($H14="INVENTADA","ALUCINACION",IF($H14="NO_RESPONDE","SIN_RESPUESTA",IF(AND($G14="SI",$H14="LITERAL"),"ACIERTO",IF(OR($G14="NO",$G14="NO_CITA"),"FALLO","PARCIAL")))))</f>
        <v/>
      </c>
      <c r="J14" s="16">
        <f>IF($I14="","",IF($I14="ACIERTO",1,IF($I14="PARCIAL",0.5,IF($I14="ALUCINACION",-1,0))))</f>
        <v/>
      </c>
      <c r="K14" s="6" t="n"/>
    </row>
    <row r="15" ht="44" customHeight="1">
      <c r="A15" s="11">
        <f>'01_Banco_preguntas'!A15</f>
        <v/>
      </c>
      <c r="B15" s="11">
        <f>'01_Banco_preguntas'!B15</f>
        <v/>
      </c>
      <c r="C15" s="11">
        <f>'01_Banco_preguntas'!C15</f>
        <v/>
      </c>
      <c r="D15" s="11">
        <f>'01_Banco_preguntas'!D15&amp;" "&amp;'01_Banco_preguntas'!E15</f>
        <v/>
      </c>
      <c r="E15" s="6" t="n"/>
      <c r="F15" s="6" t="n"/>
      <c r="G15" s="14" t="n"/>
      <c r="H15" s="14" t="n"/>
      <c r="I15" s="15">
        <f>IF(OR($G15="",$H15=""),"",IF($H15="INVENTADA","ALUCINACION",IF($H15="NO_RESPONDE","SIN_RESPUESTA",IF(AND($G15="SI",$H15="LITERAL"),"ACIERTO",IF(OR($G15="NO",$G15="NO_CITA"),"FALLO","PARCIAL")))))</f>
        <v/>
      </c>
      <c r="J15" s="16">
        <f>IF($I15="","",IF($I15="ACIERTO",1,IF($I15="PARCIAL",0.5,IF($I15="ALUCINACION",-1,0))))</f>
        <v/>
      </c>
      <c r="K15" s="6" t="n"/>
    </row>
    <row r="16" ht="44" customHeight="1">
      <c r="A16" s="11">
        <f>'01_Banco_preguntas'!A16</f>
        <v/>
      </c>
      <c r="B16" s="11">
        <f>'01_Banco_preguntas'!B16</f>
        <v/>
      </c>
      <c r="C16" s="11">
        <f>'01_Banco_preguntas'!C16</f>
        <v/>
      </c>
      <c r="D16" s="11">
        <f>'01_Banco_preguntas'!D16&amp;" "&amp;'01_Banco_preguntas'!E16</f>
        <v/>
      </c>
      <c r="E16" s="6" t="n"/>
      <c r="F16" s="6" t="n"/>
      <c r="G16" s="14" t="n"/>
      <c r="H16" s="14" t="n"/>
      <c r="I16" s="15">
        <f>IF(OR($G16="",$H16=""),"",IF($H16="INVENTADA","ALUCINACION",IF($H16="NO_RESPONDE","SIN_RESPUESTA",IF(AND($G16="SI",$H16="LITERAL"),"ACIERTO",IF(OR($G16="NO",$G16="NO_CITA"),"FALLO","PARCIAL")))))</f>
        <v/>
      </c>
      <c r="J16" s="16">
        <f>IF($I16="","",IF($I16="ACIERTO",1,IF($I16="PARCIAL",0.5,IF($I16="ALUCINACION",-1,0))))</f>
        <v/>
      </c>
      <c r="K16" s="6" t="n"/>
    </row>
    <row r="17" ht="44" customHeight="1">
      <c r="A17" s="11">
        <f>'01_Banco_preguntas'!A17</f>
        <v/>
      </c>
      <c r="B17" s="11">
        <f>'01_Banco_preguntas'!B17</f>
        <v/>
      </c>
      <c r="C17" s="11">
        <f>'01_Banco_preguntas'!C17</f>
        <v/>
      </c>
      <c r="D17" s="11">
        <f>'01_Banco_preguntas'!D17&amp;" "&amp;'01_Banco_preguntas'!E17</f>
        <v/>
      </c>
      <c r="E17" s="6" t="n"/>
      <c r="F17" s="6" t="n"/>
      <c r="G17" s="14" t="n"/>
      <c r="H17" s="14" t="n"/>
      <c r="I17" s="15">
        <f>IF(OR($G17="",$H17=""),"",IF($H17="INVENTADA","ALUCINACION",IF($H17="NO_RESPONDE","SIN_RESPUESTA",IF(AND($G17="SI",$H17="LITERAL"),"ACIERTO",IF(OR($G17="NO",$G17="NO_CITA"),"FALLO","PARCIAL")))))</f>
        <v/>
      </c>
      <c r="J17" s="16">
        <f>IF($I17="","",IF($I17="ACIERTO",1,IF($I17="PARCIAL",0.5,IF($I17="ALUCINACION",-1,0))))</f>
        <v/>
      </c>
      <c r="K17" s="6" t="n"/>
    </row>
    <row r="18" ht="44" customHeight="1">
      <c r="A18" s="11">
        <f>'01_Banco_preguntas'!A18</f>
        <v/>
      </c>
      <c r="B18" s="11">
        <f>'01_Banco_preguntas'!B18</f>
        <v/>
      </c>
      <c r="C18" s="11">
        <f>'01_Banco_preguntas'!C18</f>
        <v/>
      </c>
      <c r="D18" s="11">
        <f>'01_Banco_preguntas'!D18&amp;" "&amp;'01_Banco_preguntas'!E18</f>
        <v/>
      </c>
      <c r="E18" s="6" t="n"/>
      <c r="F18" s="6" t="n"/>
      <c r="G18" s="14" t="n"/>
      <c r="H18" s="14" t="n"/>
      <c r="I18" s="15">
        <f>IF(OR($G18="",$H18=""),"",IF($H18="INVENTADA","ALUCINACION",IF($H18="NO_RESPONDE","SIN_RESPUESTA",IF(AND($G18="SI",$H18="LITERAL"),"ACIERTO",IF(OR($G18="NO",$G18="NO_CITA"),"FALLO","PARCIAL")))))</f>
        <v/>
      </c>
      <c r="J18" s="16">
        <f>IF($I18="","",IF($I18="ACIERTO",1,IF($I18="PARCIAL",0.5,IF($I18="ALUCINACION",-1,0))))</f>
        <v/>
      </c>
      <c r="K18" s="6" t="n"/>
    </row>
    <row r="19" ht="44" customHeight="1">
      <c r="A19" s="11">
        <f>'01_Banco_preguntas'!A19</f>
        <v/>
      </c>
      <c r="B19" s="11">
        <f>'01_Banco_preguntas'!B19</f>
        <v/>
      </c>
      <c r="C19" s="11">
        <f>'01_Banco_preguntas'!C19</f>
        <v/>
      </c>
      <c r="D19" s="11">
        <f>'01_Banco_preguntas'!D19&amp;" "&amp;'01_Banco_preguntas'!E19</f>
        <v/>
      </c>
      <c r="E19" s="6" t="n"/>
      <c r="F19" s="6" t="n"/>
      <c r="G19" s="14" t="n"/>
      <c r="H19" s="14" t="n"/>
      <c r="I19" s="15">
        <f>IF(OR($G19="",$H19=""),"",IF($H19="INVENTADA","ALUCINACION",IF($H19="NO_RESPONDE","SIN_RESPUESTA",IF(AND($G19="SI",$H19="LITERAL"),"ACIERTO",IF(OR($G19="NO",$G19="NO_CITA"),"FALLO","PARCIAL")))))</f>
        <v/>
      </c>
      <c r="J19" s="16">
        <f>IF($I19="","",IF($I19="ACIERTO",1,IF($I19="PARCIAL",0.5,IF($I19="ALUCINACION",-1,0))))</f>
        <v/>
      </c>
      <c r="K19" s="6" t="n"/>
    </row>
    <row r="20" ht="44" customHeight="1">
      <c r="A20" s="11">
        <f>'01_Banco_preguntas'!A20</f>
        <v/>
      </c>
      <c r="B20" s="11">
        <f>'01_Banco_preguntas'!B20</f>
        <v/>
      </c>
      <c r="C20" s="11">
        <f>'01_Banco_preguntas'!C20</f>
        <v/>
      </c>
      <c r="D20" s="11">
        <f>'01_Banco_preguntas'!D20&amp;" "&amp;'01_Banco_preguntas'!E20</f>
        <v/>
      </c>
      <c r="E20" s="6" t="n"/>
      <c r="F20" s="6" t="n"/>
      <c r="G20" s="14" t="n"/>
      <c r="H20" s="14" t="n"/>
      <c r="I20" s="15">
        <f>IF(OR($G20="",$H20=""),"",IF($H20="INVENTADA","ALUCINACION",IF($H20="NO_RESPONDE","SIN_RESPUESTA",IF(AND($G20="SI",$H20="LITERAL"),"ACIERTO",IF(OR($G20="NO",$G20="NO_CITA"),"FALLO","PARCIAL")))))</f>
        <v/>
      </c>
      <c r="J20" s="16">
        <f>IF($I20="","",IF($I20="ACIERTO",1,IF($I20="PARCIAL",0.5,IF($I20="ALUCINACION",-1,0))))</f>
        <v/>
      </c>
      <c r="K20" s="6" t="n"/>
    </row>
    <row r="21" ht="44" customHeight="1">
      <c r="A21" s="11">
        <f>'01_Banco_preguntas'!A21</f>
        <v/>
      </c>
      <c r="B21" s="11">
        <f>'01_Banco_preguntas'!B21</f>
        <v/>
      </c>
      <c r="C21" s="11">
        <f>'01_Banco_preguntas'!C21</f>
        <v/>
      </c>
      <c r="D21" s="11">
        <f>'01_Banco_preguntas'!D21&amp;" "&amp;'01_Banco_preguntas'!E21</f>
        <v/>
      </c>
      <c r="E21" s="6" t="n"/>
      <c r="F21" s="6" t="n"/>
      <c r="G21" s="14" t="n"/>
      <c r="H21" s="14" t="n"/>
      <c r="I21" s="15">
        <f>IF(OR($G21="",$H21=""),"",IF($H21="INVENTADA","ALUCINACION",IF($H21="NO_RESPONDE","SIN_RESPUESTA",IF(AND($G21="SI",$H21="LITERAL"),"ACIERTO",IF(OR($G21="NO",$G21="NO_CITA"),"FALLO","PARCIAL")))))</f>
        <v/>
      </c>
      <c r="J21" s="16">
        <f>IF($I21="","",IF($I21="ACIERTO",1,IF($I21="PARCIAL",0.5,IF($I21="ALUCINACION",-1,0))))</f>
        <v/>
      </c>
      <c r="K21" s="6" t="n"/>
    </row>
    <row r="22" ht="44" customHeight="1">
      <c r="A22" s="11">
        <f>'01_Banco_preguntas'!A22</f>
        <v/>
      </c>
      <c r="B22" s="11">
        <f>'01_Banco_preguntas'!B22</f>
        <v/>
      </c>
      <c r="C22" s="11">
        <f>'01_Banco_preguntas'!C22</f>
        <v/>
      </c>
      <c r="D22" s="11">
        <f>'01_Banco_preguntas'!D22&amp;" "&amp;'01_Banco_preguntas'!E22</f>
        <v/>
      </c>
      <c r="E22" s="6" t="n"/>
      <c r="F22" s="6" t="n"/>
      <c r="G22" s="14" t="n"/>
      <c r="H22" s="14" t="n"/>
      <c r="I22" s="15">
        <f>IF(OR($G22="",$H22=""),"",IF($H22="INVENTADA","ALUCINACION",IF($H22="NO_RESPONDE","SIN_RESPUESTA",IF(AND($G22="SI",$H22="LITERAL"),"ACIERTO",IF(OR($G22="NO",$G22="NO_CITA"),"FALLO","PARCIAL")))))</f>
        <v/>
      </c>
      <c r="J22" s="16">
        <f>IF($I22="","",IF($I22="ACIERTO",1,IF($I22="PARCIAL",0.5,IF($I22="ALUCINACION",-1,0))))</f>
        <v/>
      </c>
      <c r="K22" s="6" t="n"/>
    </row>
    <row r="23" ht="44" customHeight="1">
      <c r="A23" s="11">
        <f>'01_Banco_preguntas'!A23</f>
        <v/>
      </c>
      <c r="B23" s="11">
        <f>'01_Banco_preguntas'!B23</f>
        <v/>
      </c>
      <c r="C23" s="11">
        <f>'01_Banco_preguntas'!C23</f>
        <v/>
      </c>
      <c r="D23" s="11">
        <f>'01_Banco_preguntas'!D23&amp;" "&amp;'01_Banco_preguntas'!E23</f>
        <v/>
      </c>
      <c r="E23" s="6" t="n"/>
      <c r="F23" s="6" t="n"/>
      <c r="G23" s="14" t="n"/>
      <c r="H23" s="14" t="n"/>
      <c r="I23" s="15">
        <f>IF(OR($G23="",$H23=""),"",IF($H23="INVENTADA","ALUCINACION",IF($H23="NO_RESPONDE","SIN_RESPUESTA",IF(AND($G23="SI",$H23="LITERAL"),"ACIERTO",IF(OR($G23="NO",$G23="NO_CITA"),"FALLO","PARCIAL")))))</f>
        <v/>
      </c>
      <c r="J23" s="16">
        <f>IF($I23="","",IF($I23="ACIERTO",1,IF($I23="PARCIAL",0.5,IF($I23="ALUCINACION",-1,0))))</f>
        <v/>
      </c>
      <c r="K23" s="6" t="n"/>
    </row>
    <row r="24" ht="44" customHeight="1">
      <c r="A24" s="11">
        <f>'01_Banco_preguntas'!A24</f>
        <v/>
      </c>
      <c r="B24" s="11">
        <f>'01_Banco_preguntas'!B24</f>
        <v/>
      </c>
      <c r="C24" s="11">
        <f>'01_Banco_preguntas'!C24</f>
        <v/>
      </c>
      <c r="D24" s="11">
        <f>'01_Banco_preguntas'!D24&amp;" "&amp;'01_Banco_preguntas'!E24</f>
        <v/>
      </c>
      <c r="E24" s="6" t="n"/>
      <c r="F24" s="6" t="n"/>
      <c r="G24" s="14" t="n"/>
      <c r="H24" s="14" t="n"/>
      <c r="I24" s="15">
        <f>IF(OR($G24="",$H24=""),"",IF($H24="INVENTADA","ALUCINACION",IF($H24="NO_RESPONDE","SIN_RESPUESTA",IF(AND($G24="SI",$H24="LITERAL"),"ACIERTO",IF(OR($G24="NO",$G24="NO_CITA"),"FALLO","PARCIAL")))))</f>
        <v/>
      </c>
      <c r="J24" s="16">
        <f>IF($I24="","",IF($I24="ACIERTO",1,IF($I24="PARCIAL",0.5,IF($I24="ALUCINACION",-1,0))))</f>
        <v/>
      </c>
      <c r="K24" s="6" t="n"/>
    </row>
    <row r="25" ht="44" customHeight="1">
      <c r="A25" s="11">
        <f>'01_Banco_preguntas'!A25</f>
        <v/>
      </c>
      <c r="B25" s="11">
        <f>'01_Banco_preguntas'!B25</f>
        <v/>
      </c>
      <c r="C25" s="11">
        <f>'01_Banco_preguntas'!C25</f>
        <v/>
      </c>
      <c r="D25" s="11">
        <f>'01_Banco_preguntas'!D25&amp;" "&amp;'01_Banco_preguntas'!E25</f>
        <v/>
      </c>
      <c r="E25" s="6" t="n"/>
      <c r="F25" s="6" t="n"/>
      <c r="G25" s="14" t="n"/>
      <c r="H25" s="14" t="n"/>
      <c r="I25" s="15">
        <f>IF(OR($G25="",$H25=""),"",IF($H25="INVENTADA","ALUCINACION",IF($H25="NO_RESPONDE","SIN_RESPUESTA",IF(AND($G25="SI",$H25="LITERAL"),"ACIERTO",IF(OR($G25="NO",$G25="NO_CITA"),"FALLO","PARCIAL")))))</f>
        <v/>
      </c>
      <c r="J25" s="16">
        <f>IF($I25="","",IF($I25="ACIERTO",1,IF($I25="PARCIAL",0.5,IF($I25="ALUCINACION",-1,0))))</f>
        <v/>
      </c>
      <c r="K25" s="6" t="n"/>
    </row>
    <row r="26" ht="44" customHeight="1">
      <c r="A26" s="11">
        <f>'01_Banco_preguntas'!A26</f>
        <v/>
      </c>
      <c r="B26" s="11">
        <f>'01_Banco_preguntas'!B26</f>
        <v/>
      </c>
      <c r="C26" s="11">
        <f>'01_Banco_preguntas'!C26</f>
        <v/>
      </c>
      <c r="D26" s="11">
        <f>'01_Banco_preguntas'!D26&amp;" "&amp;'01_Banco_preguntas'!E26</f>
        <v/>
      </c>
      <c r="E26" s="6" t="n"/>
      <c r="F26" s="6" t="n"/>
      <c r="G26" s="14" t="n"/>
      <c r="H26" s="14" t="n"/>
      <c r="I26" s="15">
        <f>IF(OR($G26="",$H26=""),"",IF($H26="INVENTADA","ALUCINACION",IF($H26="NO_RESPONDE","SIN_RESPUESTA",IF(AND($G26="SI",$H26="LITERAL"),"ACIERTO",IF(OR($G26="NO",$G26="NO_CITA"),"FALLO","PARCIAL")))))</f>
        <v/>
      </c>
      <c r="J26" s="16">
        <f>IF($I26="","",IF($I26="ACIERTO",1,IF($I26="PARCIAL",0.5,IF($I26="ALUCINACION",-1,0))))</f>
        <v/>
      </c>
      <c r="K26" s="6" t="n"/>
    </row>
    <row r="27" ht="44" customHeight="1">
      <c r="A27" s="11">
        <f>'01_Banco_preguntas'!A27</f>
        <v/>
      </c>
      <c r="B27" s="11">
        <f>'01_Banco_preguntas'!B27</f>
        <v/>
      </c>
      <c r="C27" s="11">
        <f>'01_Banco_preguntas'!C27</f>
        <v/>
      </c>
      <c r="D27" s="11">
        <f>'01_Banco_preguntas'!D27&amp;" "&amp;'01_Banco_preguntas'!E27</f>
        <v/>
      </c>
      <c r="E27" s="6" t="n"/>
      <c r="F27" s="6" t="n"/>
      <c r="G27" s="14" t="n"/>
      <c r="H27" s="14" t="n"/>
      <c r="I27" s="15">
        <f>IF(OR($G27="",$H27=""),"",IF($H27="INVENTADA","ALUCINACION",IF($H27="NO_RESPONDE","SIN_RESPUESTA",IF(AND($G27="SI",$H27="LITERAL"),"ACIERTO",IF(OR($G27="NO",$G27="NO_CITA"),"FALLO","PARCIAL")))))</f>
        <v/>
      </c>
      <c r="J27" s="16">
        <f>IF($I27="","",IF($I27="ACIERTO",1,IF($I27="PARCIAL",0.5,IF($I27="ALUCINACION",-1,0))))</f>
        <v/>
      </c>
      <c r="K27" s="6" t="n"/>
    </row>
    <row r="28" ht="44" customHeight="1">
      <c r="A28" s="11">
        <f>'01_Banco_preguntas'!A28</f>
        <v/>
      </c>
      <c r="B28" s="11">
        <f>'01_Banco_preguntas'!B28</f>
        <v/>
      </c>
      <c r="C28" s="11">
        <f>'01_Banco_preguntas'!C28</f>
        <v/>
      </c>
      <c r="D28" s="11">
        <f>'01_Banco_preguntas'!D28&amp;" "&amp;'01_Banco_preguntas'!E28</f>
        <v/>
      </c>
      <c r="E28" s="6" t="n"/>
      <c r="F28" s="6" t="n"/>
      <c r="G28" s="14" t="n"/>
      <c r="H28" s="14" t="n"/>
      <c r="I28" s="15">
        <f>IF(OR($G28="",$H28=""),"",IF($H28="INVENTADA","ALUCINACION",IF($H28="NO_RESPONDE","SIN_RESPUESTA",IF(AND($G28="SI",$H28="LITERAL"),"ACIERTO",IF(OR($G28="NO",$G28="NO_CITA"),"FALLO","PARCIAL")))))</f>
        <v/>
      </c>
      <c r="J28" s="16">
        <f>IF($I28="","",IF($I28="ACIERTO",1,IF($I28="PARCIAL",0.5,IF($I28="ALUCINACION",-1,0))))</f>
        <v/>
      </c>
      <c r="K28" s="6" t="n"/>
    </row>
    <row r="29" ht="44" customHeight="1">
      <c r="A29" s="11">
        <f>'01_Banco_preguntas'!A29</f>
        <v/>
      </c>
      <c r="B29" s="11">
        <f>'01_Banco_preguntas'!B29</f>
        <v/>
      </c>
      <c r="C29" s="11">
        <f>'01_Banco_preguntas'!C29</f>
        <v/>
      </c>
      <c r="D29" s="11">
        <f>'01_Banco_preguntas'!D29&amp;" "&amp;'01_Banco_preguntas'!E29</f>
        <v/>
      </c>
      <c r="E29" s="6" t="n"/>
      <c r="F29" s="6" t="n"/>
      <c r="G29" s="14" t="n"/>
      <c r="H29" s="14" t="n"/>
      <c r="I29" s="15">
        <f>IF(OR($G29="",$H29=""),"",IF($H29="INVENTADA","ALUCINACION",IF($H29="NO_RESPONDE","SIN_RESPUESTA",IF(AND($G29="SI",$H29="LITERAL"),"ACIERTO",IF(OR($G29="NO",$G29="NO_CITA"),"FALLO","PARCIAL")))))</f>
        <v/>
      </c>
      <c r="J29" s="16">
        <f>IF($I29="","",IF($I29="ACIERTO",1,IF($I29="PARCIAL",0.5,IF($I29="ALUCINACION",-1,0))))</f>
        <v/>
      </c>
      <c r="K29" s="6" t="n"/>
    </row>
    <row r="30" ht="44" customHeight="1">
      <c r="A30" s="11">
        <f>'01_Banco_preguntas'!A30</f>
        <v/>
      </c>
      <c r="B30" s="11">
        <f>'01_Banco_preguntas'!B30</f>
        <v/>
      </c>
      <c r="C30" s="11">
        <f>'01_Banco_preguntas'!C30</f>
        <v/>
      </c>
      <c r="D30" s="11">
        <f>'01_Banco_preguntas'!D30&amp;" "&amp;'01_Banco_preguntas'!E30</f>
        <v/>
      </c>
      <c r="E30" s="6" t="n"/>
      <c r="F30" s="6" t="n"/>
      <c r="G30" s="14" t="n"/>
      <c r="H30" s="14" t="n"/>
      <c r="I30" s="15">
        <f>IF(OR($G30="",$H30=""),"",IF($H30="INVENTADA","ALUCINACION",IF($H30="NO_RESPONDE","SIN_RESPUESTA",IF(AND($G30="SI",$H30="LITERAL"),"ACIERTO",IF(OR($G30="NO",$G30="NO_CITA"),"FALLO","PARCIAL")))))</f>
        <v/>
      </c>
      <c r="J30" s="16">
        <f>IF($I30="","",IF($I30="ACIERTO",1,IF($I30="PARCIAL",0.5,IF($I30="ALUCINACION",-1,0))))</f>
        <v/>
      </c>
      <c r="K30" s="6" t="n"/>
    </row>
    <row r="31" ht="44" customHeight="1">
      <c r="A31" s="11">
        <f>'01_Banco_preguntas'!A31</f>
        <v/>
      </c>
      <c r="B31" s="11">
        <f>'01_Banco_preguntas'!B31</f>
        <v/>
      </c>
      <c r="C31" s="11">
        <f>'01_Banco_preguntas'!C31</f>
        <v/>
      </c>
      <c r="D31" s="11">
        <f>'01_Banco_preguntas'!D31&amp;" "&amp;'01_Banco_preguntas'!E31</f>
        <v/>
      </c>
      <c r="E31" s="6" t="n"/>
      <c r="F31" s="6" t="n"/>
      <c r="G31" s="14" t="n"/>
      <c r="H31" s="14" t="n"/>
      <c r="I31" s="15">
        <f>IF(OR($G31="",$H31=""),"",IF($H31="INVENTADA","ALUCINACION",IF($H31="NO_RESPONDE","SIN_RESPUESTA",IF(AND($G31="SI",$H31="LITERAL"),"ACIERTO",IF(OR($G31="NO",$G31="NO_CITA"),"FALLO","PARCIAL")))))</f>
        <v/>
      </c>
      <c r="J31" s="16">
        <f>IF($I31="","",IF($I31="ACIERTO",1,IF($I31="PARCIAL",0.5,IF($I31="ALUCINACION",-1,0))))</f>
        <v/>
      </c>
      <c r="K31" s="6" t="n"/>
    </row>
    <row r="32" ht="44" customHeight="1">
      <c r="A32" s="11">
        <f>'01_Banco_preguntas'!A32</f>
        <v/>
      </c>
      <c r="B32" s="11">
        <f>'01_Banco_preguntas'!B32</f>
        <v/>
      </c>
      <c r="C32" s="11">
        <f>'01_Banco_preguntas'!C32</f>
        <v/>
      </c>
      <c r="D32" s="11">
        <f>'01_Banco_preguntas'!D32&amp;" "&amp;'01_Banco_preguntas'!E32</f>
        <v/>
      </c>
      <c r="E32" s="6" t="n"/>
      <c r="F32" s="6" t="n"/>
      <c r="G32" s="14" t="n"/>
      <c r="H32" s="14" t="n"/>
      <c r="I32" s="15">
        <f>IF(OR($G32="",$H32=""),"",IF($H32="INVENTADA","ALUCINACION",IF($H32="NO_RESPONDE","SIN_RESPUESTA",IF(AND($G32="SI",$H32="LITERAL"),"ACIERTO",IF(OR($G32="NO",$G32="NO_CITA"),"FALLO","PARCIAL")))))</f>
        <v/>
      </c>
      <c r="J32" s="16">
        <f>IF($I32="","",IF($I32="ACIERTO",1,IF($I32="PARCIAL",0.5,IF($I32="ALUCINACION",-1,0))))</f>
        <v/>
      </c>
      <c r="K32" s="6" t="n"/>
    </row>
    <row r="33" ht="44" customHeight="1">
      <c r="A33" s="11">
        <f>'01_Banco_preguntas'!A33</f>
        <v/>
      </c>
      <c r="B33" s="11">
        <f>'01_Banco_preguntas'!B33</f>
        <v/>
      </c>
      <c r="C33" s="11">
        <f>'01_Banco_preguntas'!C33</f>
        <v/>
      </c>
      <c r="D33" s="11">
        <f>'01_Banco_preguntas'!D33&amp;" "&amp;'01_Banco_preguntas'!E33</f>
        <v/>
      </c>
      <c r="E33" s="6" t="n"/>
      <c r="F33" s="6" t="n"/>
      <c r="G33" s="14" t="n"/>
      <c r="H33" s="14" t="n"/>
      <c r="I33" s="15">
        <f>IF(OR($G33="",$H33=""),"",IF($H33="INVENTADA","ALUCINACION",IF($H33="NO_RESPONDE","SIN_RESPUESTA",IF(AND($G33="SI",$H33="LITERAL"),"ACIERTO",IF(OR($G33="NO",$G33="NO_CITA"),"FALLO","PARCIAL")))))</f>
        <v/>
      </c>
      <c r="J33" s="16">
        <f>IF($I33="","",IF($I33="ACIERTO",1,IF($I33="PARCIAL",0.5,IF($I33="ALUCINACION",-1,0))))</f>
        <v/>
      </c>
      <c r="K33" s="6" t="n"/>
    </row>
    <row r="34" ht="44" customHeight="1">
      <c r="A34" s="11">
        <f>'01_Banco_preguntas'!A34</f>
        <v/>
      </c>
      <c r="B34" s="11">
        <f>'01_Banco_preguntas'!B34</f>
        <v/>
      </c>
      <c r="C34" s="11">
        <f>'01_Banco_preguntas'!C34</f>
        <v/>
      </c>
      <c r="D34" s="11">
        <f>'01_Banco_preguntas'!D34&amp;" "&amp;'01_Banco_preguntas'!E34</f>
        <v/>
      </c>
      <c r="E34" s="6" t="n"/>
      <c r="F34" s="6" t="n"/>
      <c r="G34" s="14" t="n"/>
      <c r="H34" s="14" t="n"/>
      <c r="I34" s="15">
        <f>IF(OR($G34="",$H34=""),"",IF($H34="INVENTADA","ALUCINACION",IF($H34="NO_RESPONDE","SIN_RESPUESTA",IF(AND($G34="SI",$H34="LITERAL"),"ACIERTO",IF(OR($G34="NO",$G34="NO_CITA"),"FALLO","PARCIAL")))))</f>
        <v/>
      </c>
      <c r="J34" s="16">
        <f>IF($I34="","",IF($I34="ACIERTO",1,IF($I34="PARCIAL",0.5,IF($I34="ALUCINACION",-1,0))))</f>
        <v/>
      </c>
      <c r="K34" s="6" t="n"/>
    </row>
    <row r="35" ht="44" customHeight="1">
      <c r="A35" s="11">
        <f>'01_Banco_preguntas'!A35</f>
        <v/>
      </c>
      <c r="B35" s="11">
        <f>'01_Banco_preguntas'!B35</f>
        <v/>
      </c>
      <c r="C35" s="11">
        <f>'01_Banco_preguntas'!C35</f>
        <v/>
      </c>
      <c r="D35" s="11">
        <f>'01_Banco_preguntas'!D35&amp;" "&amp;'01_Banco_preguntas'!E35</f>
        <v/>
      </c>
      <c r="E35" s="6" t="n"/>
      <c r="F35" s="6" t="n"/>
      <c r="G35" s="14" t="n"/>
      <c r="H35" s="14" t="n"/>
      <c r="I35" s="15">
        <f>IF(OR($G35="",$H35=""),"",IF($H35="INVENTADA","ALUCINACION",IF($H35="NO_RESPONDE","SIN_RESPUESTA",IF(AND($G35="SI",$H35="LITERAL"),"ACIERTO",IF(OR($G35="NO",$G35="NO_CITA"),"FALLO","PARCIAL")))))</f>
        <v/>
      </c>
      <c r="J35" s="16">
        <f>IF($I35="","",IF($I35="ACIERTO",1,IF($I35="PARCIAL",0.5,IF($I35="ALUCINACION",-1,0))))</f>
        <v/>
      </c>
      <c r="K35" s="6" t="n"/>
    </row>
    <row r="36" ht="44" customHeight="1">
      <c r="A36" s="11">
        <f>'01_Banco_preguntas'!A36</f>
        <v/>
      </c>
      <c r="B36" s="11">
        <f>'01_Banco_preguntas'!B36</f>
        <v/>
      </c>
      <c r="C36" s="11">
        <f>'01_Banco_preguntas'!C36</f>
        <v/>
      </c>
      <c r="D36" s="11">
        <f>'01_Banco_preguntas'!D36&amp;" "&amp;'01_Banco_preguntas'!E36</f>
        <v/>
      </c>
      <c r="E36" s="6" t="n"/>
      <c r="F36" s="6" t="n"/>
      <c r="G36" s="14" t="n"/>
      <c r="H36" s="14" t="n"/>
      <c r="I36" s="15">
        <f>IF(OR($G36="",$H36=""),"",IF($H36="INVENTADA","ALUCINACION",IF($H36="NO_RESPONDE","SIN_RESPUESTA",IF(AND($G36="SI",$H36="LITERAL"),"ACIERTO",IF(OR($G36="NO",$G36="NO_CITA"),"FALLO","PARCIAL")))))</f>
        <v/>
      </c>
      <c r="J36" s="16">
        <f>IF($I36="","",IF($I36="ACIERTO",1,IF($I36="PARCIAL",0.5,IF($I36="ALUCINACION",-1,0))))</f>
        <v/>
      </c>
      <c r="K36" s="6" t="n"/>
    </row>
    <row r="37" ht="44" customHeight="1">
      <c r="A37" s="11">
        <f>'01_Banco_preguntas'!A37</f>
        <v/>
      </c>
      <c r="B37" s="11">
        <f>'01_Banco_preguntas'!B37</f>
        <v/>
      </c>
      <c r="C37" s="11">
        <f>'01_Banco_preguntas'!C37</f>
        <v/>
      </c>
      <c r="D37" s="11">
        <f>'01_Banco_preguntas'!D37&amp;" "&amp;'01_Banco_preguntas'!E37</f>
        <v/>
      </c>
      <c r="E37" s="6" t="n"/>
      <c r="F37" s="6" t="n"/>
      <c r="G37" s="14" t="n"/>
      <c r="H37" s="14" t="n"/>
      <c r="I37" s="15">
        <f>IF(OR($G37="",$H37=""),"",IF($H37="INVENTADA","ALUCINACION",IF($H37="NO_RESPONDE","SIN_RESPUESTA",IF(AND($G37="SI",$H37="LITERAL"),"ACIERTO",IF(OR($G37="NO",$G37="NO_CITA"),"FALLO","PARCIAL")))))</f>
        <v/>
      </c>
      <c r="J37" s="16">
        <f>IF($I37="","",IF($I37="ACIERTO",1,IF($I37="PARCIAL",0.5,IF($I37="ALUCINACION",-1,0))))</f>
        <v/>
      </c>
      <c r="K37" s="6" t="n"/>
    </row>
    <row r="38" ht="44" customHeight="1">
      <c r="A38" s="11">
        <f>'01_Banco_preguntas'!A38</f>
        <v/>
      </c>
      <c r="B38" s="11">
        <f>'01_Banco_preguntas'!B38</f>
        <v/>
      </c>
      <c r="C38" s="11">
        <f>'01_Banco_preguntas'!C38</f>
        <v/>
      </c>
      <c r="D38" s="11">
        <f>'01_Banco_preguntas'!D38&amp;" "&amp;'01_Banco_preguntas'!E38</f>
        <v/>
      </c>
      <c r="E38" s="6" t="n"/>
      <c r="F38" s="6" t="n"/>
      <c r="G38" s="14" t="n"/>
      <c r="H38" s="14" t="n"/>
      <c r="I38" s="15">
        <f>IF(OR($G38="",$H38=""),"",IF($H38="INVENTADA","ALUCINACION",IF($H38="NO_RESPONDE","SIN_RESPUESTA",IF(AND($G38="SI",$H38="LITERAL"),"ACIERTO",IF(OR($G38="NO",$G38="NO_CITA"),"FALLO","PARCIAL")))))</f>
        <v/>
      </c>
      <c r="J38" s="16">
        <f>IF($I38="","",IF($I38="ACIERTO",1,IF($I38="PARCIAL",0.5,IF($I38="ALUCINACION",-1,0))))</f>
        <v/>
      </c>
      <c r="K38" s="6" t="n"/>
    </row>
    <row r="39" ht="44" customHeight="1">
      <c r="A39" s="11">
        <f>'01_Banco_preguntas'!A39</f>
        <v/>
      </c>
      <c r="B39" s="11">
        <f>'01_Banco_preguntas'!B39</f>
        <v/>
      </c>
      <c r="C39" s="11">
        <f>'01_Banco_preguntas'!C39</f>
        <v/>
      </c>
      <c r="D39" s="11">
        <f>'01_Banco_preguntas'!D39&amp;" "&amp;'01_Banco_preguntas'!E39</f>
        <v/>
      </c>
      <c r="E39" s="6" t="n"/>
      <c r="F39" s="6" t="n"/>
      <c r="G39" s="14" t="n"/>
      <c r="H39" s="14" t="n"/>
      <c r="I39" s="15">
        <f>IF(OR($G39="",$H39=""),"",IF($H39="INVENTADA","ALUCINACION",IF($H39="NO_RESPONDE","SIN_RESPUESTA",IF(AND($G39="SI",$H39="LITERAL"),"ACIERTO",IF(OR($G39="NO",$G39="NO_CITA"),"FALLO","PARCIAL")))))</f>
        <v/>
      </c>
      <c r="J39" s="16">
        <f>IF($I39="","",IF($I39="ACIERTO",1,IF($I39="PARCIAL",0.5,IF($I39="ALUCINACION",-1,0))))</f>
        <v/>
      </c>
      <c r="K39" s="6" t="n"/>
    </row>
    <row r="40" ht="44" customHeight="1">
      <c r="A40" s="11">
        <f>'01_Banco_preguntas'!A40</f>
        <v/>
      </c>
      <c r="B40" s="11">
        <f>'01_Banco_preguntas'!B40</f>
        <v/>
      </c>
      <c r="C40" s="11">
        <f>'01_Banco_preguntas'!C40</f>
        <v/>
      </c>
      <c r="D40" s="11">
        <f>'01_Banco_preguntas'!D40&amp;" "&amp;'01_Banco_preguntas'!E40</f>
        <v/>
      </c>
      <c r="E40" s="6" t="n"/>
      <c r="F40" s="6" t="n"/>
      <c r="G40" s="14" t="n"/>
      <c r="H40" s="14" t="n"/>
      <c r="I40" s="15">
        <f>IF(OR($G40="",$H40=""),"",IF($H40="INVENTADA","ALUCINACION",IF($H40="NO_RESPONDE","SIN_RESPUESTA",IF(AND($G40="SI",$H40="LITERAL"),"ACIERTO",IF(OR($G40="NO",$G40="NO_CITA"),"FALLO","PARCIAL")))))</f>
        <v/>
      </c>
      <c r="J40" s="16">
        <f>IF($I40="","",IF($I40="ACIERTO",1,IF($I40="PARCIAL",0.5,IF($I40="ALUCINACION",-1,0))))</f>
        <v/>
      </c>
      <c r="K40" s="6" t="n"/>
    </row>
    <row r="41" ht="44" customHeight="1">
      <c r="A41" s="11">
        <f>'01_Banco_preguntas'!A41</f>
        <v/>
      </c>
      <c r="B41" s="11">
        <f>'01_Banco_preguntas'!B41</f>
        <v/>
      </c>
      <c r="C41" s="11">
        <f>'01_Banco_preguntas'!C41</f>
        <v/>
      </c>
      <c r="D41" s="11">
        <f>'01_Banco_preguntas'!D41&amp;" "&amp;'01_Banco_preguntas'!E41</f>
        <v/>
      </c>
      <c r="E41" s="6" t="n"/>
      <c r="F41" s="6" t="n"/>
      <c r="G41" s="14" t="n"/>
      <c r="H41" s="14" t="n"/>
      <c r="I41" s="15">
        <f>IF(OR($G41="",$H41=""),"",IF($H41="INVENTADA","ALUCINACION",IF($H41="NO_RESPONDE","SIN_RESPUESTA",IF(AND($G41="SI",$H41="LITERAL"),"ACIERTO",IF(OR($G41="NO",$G41="NO_CITA"),"FALLO","PARCIAL")))))</f>
        <v/>
      </c>
      <c r="J41" s="16">
        <f>IF($I41="","",IF($I41="ACIERTO",1,IF($I41="PARCIAL",0.5,IF($I41="ALUCINACION",-1,0))))</f>
        <v/>
      </c>
      <c r="K41" s="6" t="n"/>
    </row>
    <row r="42" ht="44" customHeight="1">
      <c r="A42" s="11">
        <f>'01_Banco_preguntas'!A42</f>
        <v/>
      </c>
      <c r="B42" s="11">
        <f>'01_Banco_preguntas'!B42</f>
        <v/>
      </c>
      <c r="C42" s="11">
        <f>'01_Banco_preguntas'!C42</f>
        <v/>
      </c>
      <c r="D42" s="11">
        <f>'01_Banco_preguntas'!D42&amp;" "&amp;'01_Banco_preguntas'!E42</f>
        <v/>
      </c>
      <c r="E42" s="6" t="n"/>
      <c r="F42" s="6" t="n"/>
      <c r="G42" s="14" t="n"/>
      <c r="H42" s="14" t="n"/>
      <c r="I42" s="15">
        <f>IF(OR($G42="",$H42=""),"",IF($H42="INVENTADA","ALUCINACION",IF($H42="NO_RESPONDE","SIN_RESPUESTA",IF(AND($G42="SI",$H42="LITERAL"),"ACIERTO",IF(OR($G42="NO",$G42="NO_CITA"),"FALLO","PARCIAL")))))</f>
        <v/>
      </c>
      <c r="J42" s="16">
        <f>IF($I42="","",IF($I42="ACIERTO",1,IF($I42="PARCIAL",0.5,IF($I42="ALUCINACION",-1,0))))</f>
        <v/>
      </c>
      <c r="K42" s="6" t="n"/>
    </row>
    <row r="43" ht="44" customHeight="1">
      <c r="A43" s="11">
        <f>'01_Banco_preguntas'!A43</f>
        <v/>
      </c>
      <c r="B43" s="11">
        <f>'01_Banco_preguntas'!B43</f>
        <v/>
      </c>
      <c r="C43" s="11">
        <f>'01_Banco_preguntas'!C43</f>
        <v/>
      </c>
      <c r="D43" s="11">
        <f>'01_Banco_preguntas'!D43&amp;" "&amp;'01_Banco_preguntas'!E43</f>
        <v/>
      </c>
      <c r="E43" s="6" t="n"/>
      <c r="F43" s="6" t="n"/>
      <c r="G43" s="14" t="n"/>
      <c r="H43" s="14" t="n"/>
      <c r="I43" s="15">
        <f>IF(OR($G43="",$H43=""),"",IF($H43="INVENTADA","ALUCINACION",IF($H43="NO_RESPONDE","SIN_RESPUESTA",IF(AND($G43="SI",$H43="LITERAL"),"ACIERTO",IF(OR($G43="NO",$G43="NO_CITA"),"FALLO","PARCIAL")))))</f>
        <v/>
      </c>
      <c r="J43" s="16">
        <f>IF($I43="","",IF($I43="ACIERTO",1,IF($I43="PARCIAL",0.5,IF($I43="ALUCINACION",-1,0))))</f>
        <v/>
      </c>
      <c r="K43" s="6" t="n"/>
    </row>
    <row r="44" ht="44" customHeight="1">
      <c r="A44" s="11">
        <f>'01_Banco_preguntas'!A44</f>
        <v/>
      </c>
      <c r="B44" s="11">
        <f>'01_Banco_preguntas'!B44</f>
        <v/>
      </c>
      <c r="C44" s="11">
        <f>'01_Banco_preguntas'!C44</f>
        <v/>
      </c>
      <c r="D44" s="11">
        <f>'01_Banco_preguntas'!D44&amp;" "&amp;'01_Banco_preguntas'!E44</f>
        <v/>
      </c>
      <c r="E44" s="6" t="n"/>
      <c r="F44" s="6" t="n"/>
      <c r="G44" s="14" t="n"/>
      <c r="H44" s="14" t="n"/>
      <c r="I44" s="15">
        <f>IF(OR($G44="",$H44=""),"",IF($H44="INVENTADA","ALUCINACION",IF($H44="NO_RESPONDE","SIN_RESPUESTA",IF(AND($G44="SI",$H44="LITERAL"),"ACIERTO",IF(OR($G44="NO",$G44="NO_CITA"),"FALLO","PARCIAL")))))</f>
        <v/>
      </c>
      <c r="J44" s="16">
        <f>IF($I44="","",IF($I44="ACIERTO",1,IF($I44="PARCIAL",0.5,IF($I44="ALUCINACION",-1,0))))</f>
        <v/>
      </c>
      <c r="K44" s="6" t="n"/>
    </row>
    <row r="45" ht="44" customHeight="1">
      <c r="A45" s="11">
        <f>'01_Banco_preguntas'!A45</f>
        <v/>
      </c>
      <c r="B45" s="11">
        <f>'01_Banco_preguntas'!B45</f>
        <v/>
      </c>
      <c r="C45" s="11">
        <f>'01_Banco_preguntas'!C45</f>
        <v/>
      </c>
      <c r="D45" s="11">
        <f>'01_Banco_preguntas'!D45&amp;" "&amp;'01_Banco_preguntas'!E45</f>
        <v/>
      </c>
      <c r="E45" s="6" t="n"/>
      <c r="F45" s="6" t="n"/>
      <c r="G45" s="14" t="n"/>
      <c r="H45" s="14" t="n"/>
      <c r="I45" s="15">
        <f>IF(OR($G45="",$H45=""),"",IF($H45="INVENTADA","ALUCINACION",IF($H45="NO_RESPONDE","SIN_RESPUESTA",IF(AND($G45="SI",$H45="LITERAL"),"ACIERTO",IF(OR($G45="NO",$G45="NO_CITA"),"FALLO","PARCIAL")))))</f>
        <v/>
      </c>
      <c r="J45" s="16">
        <f>IF($I45="","",IF($I45="ACIERTO",1,IF($I45="PARCIAL",0.5,IF($I45="ALUCINACION",-1,0))))</f>
        <v/>
      </c>
      <c r="K45" s="6" t="n"/>
    </row>
    <row r="46" ht="44" customHeight="1">
      <c r="A46" s="11">
        <f>'01_Banco_preguntas'!A46</f>
        <v/>
      </c>
      <c r="B46" s="11">
        <f>'01_Banco_preguntas'!B46</f>
        <v/>
      </c>
      <c r="C46" s="11">
        <f>'01_Banco_preguntas'!C46</f>
        <v/>
      </c>
      <c r="D46" s="11">
        <f>'01_Banco_preguntas'!D46&amp;" "&amp;'01_Banco_preguntas'!E46</f>
        <v/>
      </c>
      <c r="E46" s="6" t="n"/>
      <c r="F46" s="6" t="n"/>
      <c r="G46" s="14" t="n"/>
      <c r="H46" s="14" t="n"/>
      <c r="I46" s="15">
        <f>IF(OR($G46="",$H46=""),"",IF($H46="INVENTADA","ALUCINACION",IF($H46="NO_RESPONDE","SIN_RESPUESTA",IF(AND($G46="SI",$H46="LITERAL"),"ACIERTO",IF(OR($G46="NO",$G46="NO_CITA"),"FALLO","PARCIAL")))))</f>
        <v/>
      </c>
      <c r="J46" s="16">
        <f>IF($I46="","",IF($I46="ACIERTO",1,IF($I46="PARCIAL",0.5,IF($I46="ALUCINACION",-1,0))))</f>
        <v/>
      </c>
      <c r="K46" s="6" t="n"/>
    </row>
    <row r="47" ht="44" customHeight="1">
      <c r="A47" s="11">
        <f>'01_Banco_preguntas'!A47</f>
        <v/>
      </c>
      <c r="B47" s="11">
        <f>'01_Banco_preguntas'!B47</f>
        <v/>
      </c>
      <c r="C47" s="11">
        <f>'01_Banco_preguntas'!C47</f>
        <v/>
      </c>
      <c r="D47" s="11">
        <f>'01_Banco_preguntas'!D47&amp;" "&amp;'01_Banco_preguntas'!E47</f>
        <v/>
      </c>
      <c r="E47" s="6" t="n"/>
      <c r="F47" s="6" t="n"/>
      <c r="G47" s="14" t="n"/>
      <c r="H47" s="14" t="n"/>
      <c r="I47" s="15">
        <f>IF(OR($G47="",$H47=""),"",IF($H47="INVENTADA","ALUCINACION",IF($H47="NO_RESPONDE","SIN_RESPUESTA",IF(AND($G47="SI",$H47="LITERAL"),"ACIERTO",IF(OR($G47="NO",$G47="NO_CITA"),"FALLO","PARCIAL")))))</f>
        <v/>
      </c>
      <c r="J47" s="16">
        <f>IF($I47="","",IF($I47="ACIERTO",1,IF($I47="PARCIAL",0.5,IF($I47="ALUCINACION",-1,0))))</f>
        <v/>
      </c>
      <c r="K47" s="6" t="n"/>
    </row>
    <row r="48" ht="44" customHeight="1">
      <c r="A48" s="11">
        <f>'01_Banco_preguntas'!A48</f>
        <v/>
      </c>
      <c r="B48" s="11">
        <f>'01_Banco_preguntas'!B48</f>
        <v/>
      </c>
      <c r="C48" s="11">
        <f>'01_Banco_preguntas'!C48</f>
        <v/>
      </c>
      <c r="D48" s="11">
        <f>'01_Banco_preguntas'!D48&amp;" "&amp;'01_Banco_preguntas'!E48</f>
        <v/>
      </c>
      <c r="E48" s="6" t="n"/>
      <c r="F48" s="6" t="n"/>
      <c r="G48" s="14" t="n"/>
      <c r="H48" s="14" t="n"/>
      <c r="I48" s="15">
        <f>IF(OR($G48="",$H48=""),"",IF($H48="INVENTADA","ALUCINACION",IF($H48="NO_RESPONDE","SIN_RESPUESTA",IF(AND($G48="SI",$H48="LITERAL"),"ACIERTO",IF(OR($G48="NO",$G48="NO_CITA"),"FALLO","PARCIAL")))))</f>
        <v/>
      </c>
      <c r="J48" s="16">
        <f>IF($I48="","",IF($I48="ACIERTO",1,IF($I48="PARCIAL",0.5,IF($I48="ALUCINACION",-1,0))))</f>
        <v/>
      </c>
      <c r="K48" s="6" t="n"/>
    </row>
    <row r="49" ht="44" customHeight="1">
      <c r="A49" s="11">
        <f>'01_Banco_preguntas'!A49</f>
        <v/>
      </c>
      <c r="B49" s="11">
        <f>'01_Banco_preguntas'!B49</f>
        <v/>
      </c>
      <c r="C49" s="11">
        <f>'01_Banco_preguntas'!C49</f>
        <v/>
      </c>
      <c r="D49" s="11">
        <f>'01_Banco_preguntas'!D49&amp;" "&amp;'01_Banco_preguntas'!E49</f>
        <v/>
      </c>
      <c r="E49" s="6" t="n"/>
      <c r="F49" s="6" t="n"/>
      <c r="G49" s="14" t="n"/>
      <c r="H49" s="14" t="n"/>
      <c r="I49" s="15">
        <f>IF(OR($G49="",$H49=""),"",IF($H49="INVENTADA","ALUCINACION",IF($H49="NO_RESPONDE","SIN_RESPUESTA",IF(AND($G49="SI",$H49="LITERAL"),"ACIERTO",IF(OR($G49="NO",$G49="NO_CITA"),"FALLO","PARCIAL")))))</f>
        <v/>
      </c>
      <c r="J49" s="16">
        <f>IF($I49="","",IF($I49="ACIERTO",1,IF($I49="PARCIAL",0.5,IF($I49="ALUCINACION",-1,0))))</f>
        <v/>
      </c>
      <c r="K49" s="6" t="n"/>
    </row>
    <row r="50" ht="44" customHeight="1">
      <c r="A50" s="11">
        <f>'01_Banco_preguntas'!A50</f>
        <v/>
      </c>
      <c r="B50" s="11">
        <f>'01_Banco_preguntas'!B50</f>
        <v/>
      </c>
      <c r="C50" s="11">
        <f>'01_Banco_preguntas'!C50</f>
        <v/>
      </c>
      <c r="D50" s="11">
        <f>'01_Banco_preguntas'!D50&amp;" "&amp;'01_Banco_preguntas'!E50</f>
        <v/>
      </c>
      <c r="E50" s="6" t="n"/>
      <c r="F50" s="6" t="n"/>
      <c r="G50" s="14" t="n"/>
      <c r="H50" s="14" t="n"/>
      <c r="I50" s="15">
        <f>IF(OR($G50="",$H50=""),"",IF($H50="INVENTADA","ALUCINACION",IF($H50="NO_RESPONDE","SIN_RESPUESTA",IF(AND($G50="SI",$H50="LITERAL"),"ACIERTO",IF(OR($G50="NO",$G50="NO_CITA"),"FALLO","PARCIAL")))))</f>
        <v/>
      </c>
      <c r="J50" s="16">
        <f>IF($I50="","",IF($I50="ACIERTO",1,IF($I50="PARCIAL",0.5,IF($I50="ALUCINACION",-1,0))))</f>
        <v/>
      </c>
      <c r="K50" s="6" t="n"/>
    </row>
    <row r="51" ht="44" customHeight="1">
      <c r="A51" s="11">
        <f>'01_Banco_preguntas'!A51</f>
        <v/>
      </c>
      <c r="B51" s="11">
        <f>'01_Banco_preguntas'!B51</f>
        <v/>
      </c>
      <c r="C51" s="11">
        <f>'01_Banco_preguntas'!C51</f>
        <v/>
      </c>
      <c r="D51" s="11">
        <f>'01_Banco_preguntas'!D51&amp;" "&amp;'01_Banco_preguntas'!E51</f>
        <v/>
      </c>
      <c r="E51" s="6" t="n"/>
      <c r="F51" s="6" t="n"/>
      <c r="G51" s="14" t="n"/>
      <c r="H51" s="14" t="n"/>
      <c r="I51" s="15">
        <f>IF(OR($G51="",$H51=""),"",IF($H51="INVENTADA","ALUCINACION",IF($H51="NO_RESPONDE","SIN_RESPUESTA",IF(AND($G51="SI",$H51="LITERAL"),"ACIERTO",IF(OR($G51="NO",$G51="NO_CITA"),"FALLO","PARCIAL")))))</f>
        <v/>
      </c>
      <c r="J51" s="16">
        <f>IF($I51="","",IF($I51="ACIERTO",1,IF($I51="PARCIAL",0.5,IF($I51="ALUCINACION",-1,0))))</f>
        <v/>
      </c>
      <c r="K51" s="6" t="n"/>
    </row>
  </sheetData>
  <autoFilter ref="A1:K51"/>
  <dataValidations count="2">
    <dataValidation sqref="G2:G51" showDropDown="0" showInputMessage="0" showErrorMessage="0" allowBlank="1" type="list">
      <formula1>"SI,PARCIAL,NO,NO_CITA"</formula1>
    </dataValidation>
    <dataValidation sqref="H2:H51" showDropDown="0" showInputMessage="0" showErrorMessage="0" allowBlank="1" type="list">
      <formula1>"LITERAL,PARCIAL,INVENTADA,NO_RESPONDE"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52" customWidth="1" min="3" max="3"/>
    <col width="15" customWidth="1" min="4" max="4"/>
    <col width="16" customWidth="1" min="5" max="5"/>
    <col width="10" customWidth="1" min="6" max="6"/>
    <col width="16" customWidth="1" min="7" max="7"/>
    <col width="10" customWidth="1" min="8" max="8"/>
    <col width="9" customWidth="1" min="9" max="9"/>
    <col width="14" customWidth="1" min="10" max="10"/>
  </cols>
  <sheetData>
    <row r="1">
      <c r="A1" s="10" t="inlineStr">
        <is>
          <t>id</t>
        </is>
      </c>
      <c r="B1" s="10" t="inlineStr">
        <is>
          <t>categoria</t>
        </is>
      </c>
      <c r="C1" s="10" t="inlineStr">
        <is>
          <t>pregunta</t>
        </is>
      </c>
      <c r="D1" s="10" t="inlineStr">
        <is>
          <t>doc_esperado_id</t>
        </is>
      </c>
      <c r="E1" s="10" t="inlineStr">
        <is>
          <t>veredicto_V0</t>
        </is>
      </c>
      <c r="F1" s="10" t="inlineStr">
        <is>
          <t>puntos_V0</t>
        </is>
      </c>
      <c r="G1" s="10" t="inlineStr">
        <is>
          <t>veredicto_V1</t>
        </is>
      </c>
      <c r="H1" s="10" t="inlineStr">
        <is>
          <t>puntos_V1</t>
        </is>
      </c>
      <c r="I1" s="10" t="inlineStr">
        <is>
          <t>delta</t>
        </is>
      </c>
      <c r="J1" s="10" t="inlineStr">
        <is>
          <t>evolucion</t>
        </is>
      </c>
    </row>
    <row r="2" ht="30" customHeight="1">
      <c r="A2" s="11">
        <f>'01_Banco_preguntas'!A2</f>
        <v/>
      </c>
      <c r="B2" s="11">
        <f>'01_Banco_preguntas'!B2</f>
        <v/>
      </c>
      <c r="C2" s="11">
        <f>'01_Banco_preguntas'!C2</f>
        <v/>
      </c>
      <c r="D2" s="11">
        <f>'01_Banco_preguntas'!D2</f>
        <v/>
      </c>
      <c r="E2" s="15">
        <f>IF('02_Ejecucion_V0'!I2="","",'02_Ejecucion_V0'!I2)</f>
        <v/>
      </c>
      <c r="F2" s="16">
        <f>IF('02_Ejecucion_V0'!J2="","",'02_Ejecucion_V0'!J2)</f>
        <v/>
      </c>
      <c r="G2" s="15">
        <f>IF('03_Ejecucion_V1'!I2="","",'03_Ejecucion_V1'!I2)</f>
        <v/>
      </c>
      <c r="H2" s="16">
        <f>IF('03_Ejecucion_V1'!J2="","",'03_Ejecucion_V1'!J2)</f>
        <v/>
      </c>
      <c r="I2" s="16">
        <f>IF(OR($F2="",$H2=""),"",$H2-$F2)</f>
        <v/>
      </c>
      <c r="J2" s="15">
        <f>IF($I2="","",IF($I2&gt;0,"MEJORA",IF($I2&lt;0,"REGRESION","IGUAL")))</f>
        <v/>
      </c>
    </row>
    <row r="3" ht="30" customHeight="1">
      <c r="A3" s="11">
        <f>'01_Banco_preguntas'!A3</f>
        <v/>
      </c>
      <c r="B3" s="11">
        <f>'01_Banco_preguntas'!B3</f>
        <v/>
      </c>
      <c r="C3" s="11">
        <f>'01_Banco_preguntas'!C3</f>
        <v/>
      </c>
      <c r="D3" s="11">
        <f>'01_Banco_preguntas'!D3</f>
        <v/>
      </c>
      <c r="E3" s="15">
        <f>IF('02_Ejecucion_V0'!I3="","",'02_Ejecucion_V0'!I3)</f>
        <v/>
      </c>
      <c r="F3" s="16">
        <f>IF('02_Ejecucion_V0'!J3="","",'02_Ejecucion_V0'!J3)</f>
        <v/>
      </c>
      <c r="G3" s="15">
        <f>IF('03_Ejecucion_V1'!I3="","",'03_Ejecucion_V1'!I3)</f>
        <v/>
      </c>
      <c r="H3" s="16">
        <f>IF('03_Ejecucion_V1'!J3="","",'03_Ejecucion_V1'!J3)</f>
        <v/>
      </c>
      <c r="I3" s="16">
        <f>IF(OR($F3="",$H3=""),"",$H3-$F3)</f>
        <v/>
      </c>
      <c r="J3" s="15">
        <f>IF($I3="","",IF($I3&gt;0,"MEJORA",IF($I3&lt;0,"REGRESION","IGUAL")))</f>
        <v/>
      </c>
    </row>
    <row r="4" ht="30" customHeight="1">
      <c r="A4" s="11">
        <f>'01_Banco_preguntas'!A4</f>
        <v/>
      </c>
      <c r="B4" s="11">
        <f>'01_Banco_preguntas'!B4</f>
        <v/>
      </c>
      <c r="C4" s="11">
        <f>'01_Banco_preguntas'!C4</f>
        <v/>
      </c>
      <c r="D4" s="11">
        <f>'01_Banco_preguntas'!D4</f>
        <v/>
      </c>
      <c r="E4" s="15">
        <f>IF('02_Ejecucion_V0'!I4="","",'02_Ejecucion_V0'!I4)</f>
        <v/>
      </c>
      <c r="F4" s="16">
        <f>IF('02_Ejecucion_V0'!J4="","",'02_Ejecucion_V0'!J4)</f>
        <v/>
      </c>
      <c r="G4" s="15">
        <f>IF('03_Ejecucion_V1'!I4="","",'03_Ejecucion_V1'!I4)</f>
        <v/>
      </c>
      <c r="H4" s="16">
        <f>IF('03_Ejecucion_V1'!J4="","",'03_Ejecucion_V1'!J4)</f>
        <v/>
      </c>
      <c r="I4" s="16">
        <f>IF(OR($F4="",$H4=""),"",$H4-$F4)</f>
        <v/>
      </c>
      <c r="J4" s="15">
        <f>IF($I4="","",IF($I4&gt;0,"MEJORA",IF($I4&lt;0,"REGRESION","IGUAL")))</f>
        <v/>
      </c>
    </row>
    <row r="5" ht="30" customHeight="1">
      <c r="A5" s="11">
        <f>'01_Banco_preguntas'!A5</f>
        <v/>
      </c>
      <c r="B5" s="11">
        <f>'01_Banco_preguntas'!B5</f>
        <v/>
      </c>
      <c r="C5" s="11">
        <f>'01_Banco_preguntas'!C5</f>
        <v/>
      </c>
      <c r="D5" s="11">
        <f>'01_Banco_preguntas'!D5</f>
        <v/>
      </c>
      <c r="E5" s="15">
        <f>IF('02_Ejecucion_V0'!I5="","",'02_Ejecucion_V0'!I5)</f>
        <v/>
      </c>
      <c r="F5" s="16">
        <f>IF('02_Ejecucion_V0'!J5="","",'02_Ejecucion_V0'!J5)</f>
        <v/>
      </c>
      <c r="G5" s="15">
        <f>IF('03_Ejecucion_V1'!I5="","",'03_Ejecucion_V1'!I5)</f>
        <v/>
      </c>
      <c r="H5" s="16">
        <f>IF('03_Ejecucion_V1'!J5="","",'03_Ejecucion_V1'!J5)</f>
        <v/>
      </c>
      <c r="I5" s="16">
        <f>IF(OR($F5="",$H5=""),"",$H5-$F5)</f>
        <v/>
      </c>
      <c r="J5" s="15">
        <f>IF($I5="","",IF($I5&gt;0,"MEJORA",IF($I5&lt;0,"REGRESION","IGUAL")))</f>
        <v/>
      </c>
    </row>
    <row r="6" ht="30" customHeight="1">
      <c r="A6" s="11">
        <f>'01_Banco_preguntas'!A6</f>
        <v/>
      </c>
      <c r="B6" s="11">
        <f>'01_Banco_preguntas'!B6</f>
        <v/>
      </c>
      <c r="C6" s="11">
        <f>'01_Banco_preguntas'!C6</f>
        <v/>
      </c>
      <c r="D6" s="11">
        <f>'01_Banco_preguntas'!D6</f>
        <v/>
      </c>
      <c r="E6" s="15">
        <f>IF('02_Ejecucion_V0'!I6="","",'02_Ejecucion_V0'!I6)</f>
        <v/>
      </c>
      <c r="F6" s="16">
        <f>IF('02_Ejecucion_V0'!J6="","",'02_Ejecucion_V0'!J6)</f>
        <v/>
      </c>
      <c r="G6" s="15">
        <f>IF('03_Ejecucion_V1'!I6="","",'03_Ejecucion_V1'!I6)</f>
        <v/>
      </c>
      <c r="H6" s="16">
        <f>IF('03_Ejecucion_V1'!J6="","",'03_Ejecucion_V1'!J6)</f>
        <v/>
      </c>
      <c r="I6" s="16">
        <f>IF(OR($F6="",$H6=""),"",$H6-$F6)</f>
        <v/>
      </c>
      <c r="J6" s="15">
        <f>IF($I6="","",IF($I6&gt;0,"MEJORA",IF($I6&lt;0,"REGRESION","IGUAL")))</f>
        <v/>
      </c>
    </row>
    <row r="7" ht="30" customHeight="1">
      <c r="A7" s="11">
        <f>'01_Banco_preguntas'!A7</f>
        <v/>
      </c>
      <c r="B7" s="11">
        <f>'01_Banco_preguntas'!B7</f>
        <v/>
      </c>
      <c r="C7" s="11">
        <f>'01_Banco_preguntas'!C7</f>
        <v/>
      </c>
      <c r="D7" s="11">
        <f>'01_Banco_preguntas'!D7</f>
        <v/>
      </c>
      <c r="E7" s="15">
        <f>IF('02_Ejecucion_V0'!I7="","",'02_Ejecucion_V0'!I7)</f>
        <v/>
      </c>
      <c r="F7" s="16">
        <f>IF('02_Ejecucion_V0'!J7="","",'02_Ejecucion_V0'!J7)</f>
        <v/>
      </c>
      <c r="G7" s="15">
        <f>IF('03_Ejecucion_V1'!I7="","",'03_Ejecucion_V1'!I7)</f>
        <v/>
      </c>
      <c r="H7" s="16">
        <f>IF('03_Ejecucion_V1'!J7="","",'03_Ejecucion_V1'!J7)</f>
        <v/>
      </c>
      <c r="I7" s="16">
        <f>IF(OR($F7="",$H7=""),"",$H7-$F7)</f>
        <v/>
      </c>
      <c r="J7" s="15">
        <f>IF($I7="","",IF($I7&gt;0,"MEJORA",IF($I7&lt;0,"REGRESION","IGUAL")))</f>
        <v/>
      </c>
    </row>
    <row r="8" ht="30" customHeight="1">
      <c r="A8" s="11">
        <f>'01_Banco_preguntas'!A8</f>
        <v/>
      </c>
      <c r="B8" s="11">
        <f>'01_Banco_preguntas'!B8</f>
        <v/>
      </c>
      <c r="C8" s="11">
        <f>'01_Banco_preguntas'!C8</f>
        <v/>
      </c>
      <c r="D8" s="11">
        <f>'01_Banco_preguntas'!D8</f>
        <v/>
      </c>
      <c r="E8" s="15">
        <f>IF('02_Ejecucion_V0'!I8="","",'02_Ejecucion_V0'!I8)</f>
        <v/>
      </c>
      <c r="F8" s="16">
        <f>IF('02_Ejecucion_V0'!J8="","",'02_Ejecucion_V0'!J8)</f>
        <v/>
      </c>
      <c r="G8" s="15">
        <f>IF('03_Ejecucion_V1'!I8="","",'03_Ejecucion_V1'!I8)</f>
        <v/>
      </c>
      <c r="H8" s="16">
        <f>IF('03_Ejecucion_V1'!J8="","",'03_Ejecucion_V1'!J8)</f>
        <v/>
      </c>
      <c r="I8" s="16">
        <f>IF(OR($F8="",$H8=""),"",$H8-$F8)</f>
        <v/>
      </c>
      <c r="J8" s="15">
        <f>IF($I8="","",IF($I8&gt;0,"MEJORA",IF($I8&lt;0,"REGRESION","IGUAL")))</f>
        <v/>
      </c>
    </row>
    <row r="9" ht="30" customHeight="1">
      <c r="A9" s="11">
        <f>'01_Banco_preguntas'!A9</f>
        <v/>
      </c>
      <c r="B9" s="11">
        <f>'01_Banco_preguntas'!B9</f>
        <v/>
      </c>
      <c r="C9" s="11">
        <f>'01_Banco_preguntas'!C9</f>
        <v/>
      </c>
      <c r="D9" s="11">
        <f>'01_Banco_preguntas'!D9</f>
        <v/>
      </c>
      <c r="E9" s="15">
        <f>IF('02_Ejecucion_V0'!I9="","",'02_Ejecucion_V0'!I9)</f>
        <v/>
      </c>
      <c r="F9" s="16">
        <f>IF('02_Ejecucion_V0'!J9="","",'02_Ejecucion_V0'!J9)</f>
        <v/>
      </c>
      <c r="G9" s="15">
        <f>IF('03_Ejecucion_V1'!I9="","",'03_Ejecucion_V1'!I9)</f>
        <v/>
      </c>
      <c r="H9" s="16">
        <f>IF('03_Ejecucion_V1'!J9="","",'03_Ejecucion_V1'!J9)</f>
        <v/>
      </c>
      <c r="I9" s="16">
        <f>IF(OR($F9="",$H9=""),"",$H9-$F9)</f>
        <v/>
      </c>
      <c r="J9" s="15">
        <f>IF($I9="","",IF($I9&gt;0,"MEJORA",IF($I9&lt;0,"REGRESION","IGUAL")))</f>
        <v/>
      </c>
    </row>
    <row r="10" ht="30" customHeight="1">
      <c r="A10" s="11">
        <f>'01_Banco_preguntas'!A10</f>
        <v/>
      </c>
      <c r="B10" s="11">
        <f>'01_Banco_preguntas'!B10</f>
        <v/>
      </c>
      <c r="C10" s="11">
        <f>'01_Banco_preguntas'!C10</f>
        <v/>
      </c>
      <c r="D10" s="11">
        <f>'01_Banco_preguntas'!D10</f>
        <v/>
      </c>
      <c r="E10" s="15">
        <f>IF('02_Ejecucion_V0'!I10="","",'02_Ejecucion_V0'!I10)</f>
        <v/>
      </c>
      <c r="F10" s="16">
        <f>IF('02_Ejecucion_V0'!J10="","",'02_Ejecucion_V0'!J10)</f>
        <v/>
      </c>
      <c r="G10" s="15">
        <f>IF('03_Ejecucion_V1'!I10="","",'03_Ejecucion_V1'!I10)</f>
        <v/>
      </c>
      <c r="H10" s="16">
        <f>IF('03_Ejecucion_V1'!J10="","",'03_Ejecucion_V1'!J10)</f>
        <v/>
      </c>
      <c r="I10" s="16">
        <f>IF(OR($F10="",$H10=""),"",$H10-$F10)</f>
        <v/>
      </c>
      <c r="J10" s="15">
        <f>IF($I10="","",IF($I10&gt;0,"MEJORA",IF($I10&lt;0,"REGRESION","IGUAL")))</f>
        <v/>
      </c>
    </row>
    <row r="11" ht="30" customHeight="1">
      <c r="A11" s="11">
        <f>'01_Banco_preguntas'!A11</f>
        <v/>
      </c>
      <c r="B11" s="11">
        <f>'01_Banco_preguntas'!B11</f>
        <v/>
      </c>
      <c r="C11" s="11">
        <f>'01_Banco_preguntas'!C11</f>
        <v/>
      </c>
      <c r="D11" s="11">
        <f>'01_Banco_preguntas'!D11</f>
        <v/>
      </c>
      <c r="E11" s="15">
        <f>IF('02_Ejecucion_V0'!I11="","",'02_Ejecucion_V0'!I11)</f>
        <v/>
      </c>
      <c r="F11" s="16">
        <f>IF('02_Ejecucion_V0'!J11="","",'02_Ejecucion_V0'!J11)</f>
        <v/>
      </c>
      <c r="G11" s="15">
        <f>IF('03_Ejecucion_V1'!I11="","",'03_Ejecucion_V1'!I11)</f>
        <v/>
      </c>
      <c r="H11" s="16">
        <f>IF('03_Ejecucion_V1'!J11="","",'03_Ejecucion_V1'!J11)</f>
        <v/>
      </c>
      <c r="I11" s="16">
        <f>IF(OR($F11="",$H11=""),"",$H11-$F11)</f>
        <v/>
      </c>
      <c r="J11" s="15">
        <f>IF($I11="","",IF($I11&gt;0,"MEJORA",IF($I11&lt;0,"REGRESION","IGUAL")))</f>
        <v/>
      </c>
    </row>
    <row r="12" ht="30" customHeight="1">
      <c r="A12" s="11">
        <f>'01_Banco_preguntas'!A12</f>
        <v/>
      </c>
      <c r="B12" s="11">
        <f>'01_Banco_preguntas'!B12</f>
        <v/>
      </c>
      <c r="C12" s="11">
        <f>'01_Banco_preguntas'!C12</f>
        <v/>
      </c>
      <c r="D12" s="11">
        <f>'01_Banco_preguntas'!D12</f>
        <v/>
      </c>
      <c r="E12" s="15">
        <f>IF('02_Ejecucion_V0'!I12="","",'02_Ejecucion_V0'!I12)</f>
        <v/>
      </c>
      <c r="F12" s="16">
        <f>IF('02_Ejecucion_V0'!J12="","",'02_Ejecucion_V0'!J12)</f>
        <v/>
      </c>
      <c r="G12" s="15">
        <f>IF('03_Ejecucion_V1'!I12="","",'03_Ejecucion_V1'!I12)</f>
        <v/>
      </c>
      <c r="H12" s="16">
        <f>IF('03_Ejecucion_V1'!J12="","",'03_Ejecucion_V1'!J12)</f>
        <v/>
      </c>
      <c r="I12" s="16">
        <f>IF(OR($F12="",$H12=""),"",$H12-$F12)</f>
        <v/>
      </c>
      <c r="J12" s="15">
        <f>IF($I12="","",IF($I12&gt;0,"MEJORA",IF($I12&lt;0,"REGRESION","IGUAL")))</f>
        <v/>
      </c>
    </row>
    <row r="13" ht="30" customHeight="1">
      <c r="A13" s="11">
        <f>'01_Banco_preguntas'!A13</f>
        <v/>
      </c>
      <c r="B13" s="11">
        <f>'01_Banco_preguntas'!B13</f>
        <v/>
      </c>
      <c r="C13" s="11">
        <f>'01_Banco_preguntas'!C13</f>
        <v/>
      </c>
      <c r="D13" s="11">
        <f>'01_Banco_preguntas'!D13</f>
        <v/>
      </c>
      <c r="E13" s="15">
        <f>IF('02_Ejecucion_V0'!I13="","",'02_Ejecucion_V0'!I13)</f>
        <v/>
      </c>
      <c r="F13" s="16">
        <f>IF('02_Ejecucion_V0'!J13="","",'02_Ejecucion_V0'!J13)</f>
        <v/>
      </c>
      <c r="G13" s="15">
        <f>IF('03_Ejecucion_V1'!I13="","",'03_Ejecucion_V1'!I13)</f>
        <v/>
      </c>
      <c r="H13" s="16">
        <f>IF('03_Ejecucion_V1'!J13="","",'03_Ejecucion_V1'!J13)</f>
        <v/>
      </c>
      <c r="I13" s="16">
        <f>IF(OR($F13="",$H13=""),"",$H13-$F13)</f>
        <v/>
      </c>
      <c r="J13" s="15">
        <f>IF($I13="","",IF($I13&gt;0,"MEJORA",IF($I13&lt;0,"REGRESION","IGUAL")))</f>
        <v/>
      </c>
    </row>
    <row r="14" ht="30" customHeight="1">
      <c r="A14" s="11">
        <f>'01_Banco_preguntas'!A14</f>
        <v/>
      </c>
      <c r="B14" s="11">
        <f>'01_Banco_preguntas'!B14</f>
        <v/>
      </c>
      <c r="C14" s="11">
        <f>'01_Banco_preguntas'!C14</f>
        <v/>
      </c>
      <c r="D14" s="11">
        <f>'01_Banco_preguntas'!D14</f>
        <v/>
      </c>
      <c r="E14" s="15">
        <f>IF('02_Ejecucion_V0'!I14="","",'02_Ejecucion_V0'!I14)</f>
        <v/>
      </c>
      <c r="F14" s="16">
        <f>IF('02_Ejecucion_V0'!J14="","",'02_Ejecucion_V0'!J14)</f>
        <v/>
      </c>
      <c r="G14" s="15">
        <f>IF('03_Ejecucion_V1'!I14="","",'03_Ejecucion_V1'!I14)</f>
        <v/>
      </c>
      <c r="H14" s="16">
        <f>IF('03_Ejecucion_V1'!J14="","",'03_Ejecucion_V1'!J14)</f>
        <v/>
      </c>
      <c r="I14" s="16">
        <f>IF(OR($F14="",$H14=""),"",$H14-$F14)</f>
        <v/>
      </c>
      <c r="J14" s="15">
        <f>IF($I14="","",IF($I14&gt;0,"MEJORA",IF($I14&lt;0,"REGRESION","IGUAL")))</f>
        <v/>
      </c>
    </row>
    <row r="15" ht="30" customHeight="1">
      <c r="A15" s="11">
        <f>'01_Banco_preguntas'!A15</f>
        <v/>
      </c>
      <c r="B15" s="11">
        <f>'01_Banco_preguntas'!B15</f>
        <v/>
      </c>
      <c r="C15" s="11">
        <f>'01_Banco_preguntas'!C15</f>
        <v/>
      </c>
      <c r="D15" s="11">
        <f>'01_Banco_preguntas'!D15</f>
        <v/>
      </c>
      <c r="E15" s="15">
        <f>IF('02_Ejecucion_V0'!I15="","",'02_Ejecucion_V0'!I15)</f>
        <v/>
      </c>
      <c r="F15" s="16">
        <f>IF('02_Ejecucion_V0'!J15="","",'02_Ejecucion_V0'!J15)</f>
        <v/>
      </c>
      <c r="G15" s="15">
        <f>IF('03_Ejecucion_V1'!I15="","",'03_Ejecucion_V1'!I15)</f>
        <v/>
      </c>
      <c r="H15" s="16">
        <f>IF('03_Ejecucion_V1'!J15="","",'03_Ejecucion_V1'!J15)</f>
        <v/>
      </c>
      <c r="I15" s="16">
        <f>IF(OR($F15="",$H15=""),"",$H15-$F15)</f>
        <v/>
      </c>
      <c r="J15" s="15">
        <f>IF($I15="","",IF($I15&gt;0,"MEJORA",IF($I15&lt;0,"REGRESION","IGUAL")))</f>
        <v/>
      </c>
    </row>
    <row r="16" ht="30" customHeight="1">
      <c r="A16" s="11">
        <f>'01_Banco_preguntas'!A16</f>
        <v/>
      </c>
      <c r="B16" s="11">
        <f>'01_Banco_preguntas'!B16</f>
        <v/>
      </c>
      <c r="C16" s="11">
        <f>'01_Banco_preguntas'!C16</f>
        <v/>
      </c>
      <c r="D16" s="11">
        <f>'01_Banco_preguntas'!D16</f>
        <v/>
      </c>
      <c r="E16" s="15">
        <f>IF('02_Ejecucion_V0'!I16="","",'02_Ejecucion_V0'!I16)</f>
        <v/>
      </c>
      <c r="F16" s="16">
        <f>IF('02_Ejecucion_V0'!J16="","",'02_Ejecucion_V0'!J16)</f>
        <v/>
      </c>
      <c r="G16" s="15">
        <f>IF('03_Ejecucion_V1'!I16="","",'03_Ejecucion_V1'!I16)</f>
        <v/>
      </c>
      <c r="H16" s="16">
        <f>IF('03_Ejecucion_V1'!J16="","",'03_Ejecucion_V1'!J16)</f>
        <v/>
      </c>
      <c r="I16" s="16">
        <f>IF(OR($F16="",$H16=""),"",$H16-$F16)</f>
        <v/>
      </c>
      <c r="J16" s="15">
        <f>IF($I16="","",IF($I16&gt;0,"MEJORA",IF($I16&lt;0,"REGRESION","IGUAL")))</f>
        <v/>
      </c>
    </row>
    <row r="17" ht="30" customHeight="1">
      <c r="A17" s="11">
        <f>'01_Banco_preguntas'!A17</f>
        <v/>
      </c>
      <c r="B17" s="11">
        <f>'01_Banco_preguntas'!B17</f>
        <v/>
      </c>
      <c r="C17" s="11">
        <f>'01_Banco_preguntas'!C17</f>
        <v/>
      </c>
      <c r="D17" s="11">
        <f>'01_Banco_preguntas'!D17</f>
        <v/>
      </c>
      <c r="E17" s="15">
        <f>IF('02_Ejecucion_V0'!I17="","",'02_Ejecucion_V0'!I17)</f>
        <v/>
      </c>
      <c r="F17" s="16">
        <f>IF('02_Ejecucion_V0'!J17="","",'02_Ejecucion_V0'!J17)</f>
        <v/>
      </c>
      <c r="G17" s="15">
        <f>IF('03_Ejecucion_V1'!I17="","",'03_Ejecucion_V1'!I17)</f>
        <v/>
      </c>
      <c r="H17" s="16">
        <f>IF('03_Ejecucion_V1'!J17="","",'03_Ejecucion_V1'!J17)</f>
        <v/>
      </c>
      <c r="I17" s="16">
        <f>IF(OR($F17="",$H17=""),"",$H17-$F17)</f>
        <v/>
      </c>
      <c r="J17" s="15">
        <f>IF($I17="","",IF($I17&gt;0,"MEJORA",IF($I17&lt;0,"REGRESION","IGUAL")))</f>
        <v/>
      </c>
    </row>
    <row r="18" ht="30" customHeight="1">
      <c r="A18" s="11">
        <f>'01_Banco_preguntas'!A18</f>
        <v/>
      </c>
      <c r="B18" s="11">
        <f>'01_Banco_preguntas'!B18</f>
        <v/>
      </c>
      <c r="C18" s="11">
        <f>'01_Banco_preguntas'!C18</f>
        <v/>
      </c>
      <c r="D18" s="11">
        <f>'01_Banco_preguntas'!D18</f>
        <v/>
      </c>
      <c r="E18" s="15">
        <f>IF('02_Ejecucion_V0'!I18="","",'02_Ejecucion_V0'!I18)</f>
        <v/>
      </c>
      <c r="F18" s="16">
        <f>IF('02_Ejecucion_V0'!J18="","",'02_Ejecucion_V0'!J18)</f>
        <v/>
      </c>
      <c r="G18" s="15">
        <f>IF('03_Ejecucion_V1'!I18="","",'03_Ejecucion_V1'!I18)</f>
        <v/>
      </c>
      <c r="H18" s="16">
        <f>IF('03_Ejecucion_V1'!J18="","",'03_Ejecucion_V1'!J18)</f>
        <v/>
      </c>
      <c r="I18" s="16">
        <f>IF(OR($F18="",$H18=""),"",$H18-$F18)</f>
        <v/>
      </c>
      <c r="J18" s="15">
        <f>IF($I18="","",IF($I18&gt;0,"MEJORA",IF($I18&lt;0,"REGRESION","IGUAL")))</f>
        <v/>
      </c>
    </row>
    <row r="19" ht="30" customHeight="1">
      <c r="A19" s="11">
        <f>'01_Banco_preguntas'!A19</f>
        <v/>
      </c>
      <c r="B19" s="11">
        <f>'01_Banco_preguntas'!B19</f>
        <v/>
      </c>
      <c r="C19" s="11">
        <f>'01_Banco_preguntas'!C19</f>
        <v/>
      </c>
      <c r="D19" s="11">
        <f>'01_Banco_preguntas'!D19</f>
        <v/>
      </c>
      <c r="E19" s="15">
        <f>IF('02_Ejecucion_V0'!I19="","",'02_Ejecucion_V0'!I19)</f>
        <v/>
      </c>
      <c r="F19" s="16">
        <f>IF('02_Ejecucion_V0'!J19="","",'02_Ejecucion_V0'!J19)</f>
        <v/>
      </c>
      <c r="G19" s="15">
        <f>IF('03_Ejecucion_V1'!I19="","",'03_Ejecucion_V1'!I19)</f>
        <v/>
      </c>
      <c r="H19" s="16">
        <f>IF('03_Ejecucion_V1'!J19="","",'03_Ejecucion_V1'!J19)</f>
        <v/>
      </c>
      <c r="I19" s="16">
        <f>IF(OR($F19="",$H19=""),"",$H19-$F19)</f>
        <v/>
      </c>
      <c r="J19" s="15">
        <f>IF($I19="","",IF($I19&gt;0,"MEJORA",IF($I19&lt;0,"REGRESION","IGUAL")))</f>
        <v/>
      </c>
    </row>
    <row r="20" ht="30" customHeight="1">
      <c r="A20" s="11">
        <f>'01_Banco_preguntas'!A20</f>
        <v/>
      </c>
      <c r="B20" s="11">
        <f>'01_Banco_preguntas'!B20</f>
        <v/>
      </c>
      <c r="C20" s="11">
        <f>'01_Banco_preguntas'!C20</f>
        <v/>
      </c>
      <c r="D20" s="11">
        <f>'01_Banco_preguntas'!D20</f>
        <v/>
      </c>
      <c r="E20" s="15">
        <f>IF('02_Ejecucion_V0'!I20="","",'02_Ejecucion_V0'!I20)</f>
        <v/>
      </c>
      <c r="F20" s="16">
        <f>IF('02_Ejecucion_V0'!J20="","",'02_Ejecucion_V0'!J20)</f>
        <v/>
      </c>
      <c r="G20" s="15">
        <f>IF('03_Ejecucion_V1'!I20="","",'03_Ejecucion_V1'!I20)</f>
        <v/>
      </c>
      <c r="H20" s="16">
        <f>IF('03_Ejecucion_V1'!J20="","",'03_Ejecucion_V1'!J20)</f>
        <v/>
      </c>
      <c r="I20" s="16">
        <f>IF(OR($F20="",$H20=""),"",$H20-$F20)</f>
        <v/>
      </c>
      <c r="J20" s="15">
        <f>IF($I20="","",IF($I20&gt;0,"MEJORA",IF($I20&lt;0,"REGRESION","IGUAL")))</f>
        <v/>
      </c>
    </row>
    <row r="21" ht="30" customHeight="1">
      <c r="A21" s="11">
        <f>'01_Banco_preguntas'!A21</f>
        <v/>
      </c>
      <c r="B21" s="11">
        <f>'01_Banco_preguntas'!B21</f>
        <v/>
      </c>
      <c r="C21" s="11">
        <f>'01_Banco_preguntas'!C21</f>
        <v/>
      </c>
      <c r="D21" s="11">
        <f>'01_Banco_preguntas'!D21</f>
        <v/>
      </c>
      <c r="E21" s="15">
        <f>IF('02_Ejecucion_V0'!I21="","",'02_Ejecucion_V0'!I21)</f>
        <v/>
      </c>
      <c r="F21" s="16">
        <f>IF('02_Ejecucion_V0'!J21="","",'02_Ejecucion_V0'!J21)</f>
        <v/>
      </c>
      <c r="G21" s="15">
        <f>IF('03_Ejecucion_V1'!I21="","",'03_Ejecucion_V1'!I21)</f>
        <v/>
      </c>
      <c r="H21" s="16">
        <f>IF('03_Ejecucion_V1'!J21="","",'03_Ejecucion_V1'!J21)</f>
        <v/>
      </c>
      <c r="I21" s="16">
        <f>IF(OR($F21="",$H21=""),"",$H21-$F21)</f>
        <v/>
      </c>
      <c r="J21" s="15">
        <f>IF($I21="","",IF($I21&gt;0,"MEJORA",IF($I21&lt;0,"REGRESION","IGUAL")))</f>
        <v/>
      </c>
    </row>
    <row r="22" ht="30" customHeight="1">
      <c r="A22" s="11">
        <f>'01_Banco_preguntas'!A22</f>
        <v/>
      </c>
      <c r="B22" s="11">
        <f>'01_Banco_preguntas'!B22</f>
        <v/>
      </c>
      <c r="C22" s="11">
        <f>'01_Banco_preguntas'!C22</f>
        <v/>
      </c>
      <c r="D22" s="11">
        <f>'01_Banco_preguntas'!D22</f>
        <v/>
      </c>
      <c r="E22" s="15">
        <f>IF('02_Ejecucion_V0'!I22="","",'02_Ejecucion_V0'!I22)</f>
        <v/>
      </c>
      <c r="F22" s="16">
        <f>IF('02_Ejecucion_V0'!J22="","",'02_Ejecucion_V0'!J22)</f>
        <v/>
      </c>
      <c r="G22" s="15">
        <f>IF('03_Ejecucion_V1'!I22="","",'03_Ejecucion_V1'!I22)</f>
        <v/>
      </c>
      <c r="H22" s="16">
        <f>IF('03_Ejecucion_V1'!J22="","",'03_Ejecucion_V1'!J22)</f>
        <v/>
      </c>
      <c r="I22" s="16">
        <f>IF(OR($F22="",$H22=""),"",$H22-$F22)</f>
        <v/>
      </c>
      <c r="J22" s="15">
        <f>IF($I22="","",IF($I22&gt;0,"MEJORA",IF($I22&lt;0,"REGRESION","IGUAL")))</f>
        <v/>
      </c>
    </row>
    <row r="23" ht="30" customHeight="1">
      <c r="A23" s="11">
        <f>'01_Banco_preguntas'!A23</f>
        <v/>
      </c>
      <c r="B23" s="11">
        <f>'01_Banco_preguntas'!B23</f>
        <v/>
      </c>
      <c r="C23" s="11">
        <f>'01_Banco_preguntas'!C23</f>
        <v/>
      </c>
      <c r="D23" s="11">
        <f>'01_Banco_preguntas'!D23</f>
        <v/>
      </c>
      <c r="E23" s="15">
        <f>IF('02_Ejecucion_V0'!I23="","",'02_Ejecucion_V0'!I23)</f>
        <v/>
      </c>
      <c r="F23" s="16">
        <f>IF('02_Ejecucion_V0'!J23="","",'02_Ejecucion_V0'!J23)</f>
        <v/>
      </c>
      <c r="G23" s="15">
        <f>IF('03_Ejecucion_V1'!I23="","",'03_Ejecucion_V1'!I23)</f>
        <v/>
      </c>
      <c r="H23" s="16">
        <f>IF('03_Ejecucion_V1'!J23="","",'03_Ejecucion_V1'!J23)</f>
        <v/>
      </c>
      <c r="I23" s="16">
        <f>IF(OR($F23="",$H23=""),"",$H23-$F23)</f>
        <v/>
      </c>
      <c r="J23" s="15">
        <f>IF($I23="","",IF($I23&gt;0,"MEJORA",IF($I23&lt;0,"REGRESION","IGUAL")))</f>
        <v/>
      </c>
    </row>
    <row r="24" ht="30" customHeight="1">
      <c r="A24" s="11">
        <f>'01_Banco_preguntas'!A24</f>
        <v/>
      </c>
      <c r="B24" s="11">
        <f>'01_Banco_preguntas'!B24</f>
        <v/>
      </c>
      <c r="C24" s="11">
        <f>'01_Banco_preguntas'!C24</f>
        <v/>
      </c>
      <c r="D24" s="11">
        <f>'01_Banco_preguntas'!D24</f>
        <v/>
      </c>
      <c r="E24" s="15">
        <f>IF('02_Ejecucion_V0'!I24="","",'02_Ejecucion_V0'!I24)</f>
        <v/>
      </c>
      <c r="F24" s="16">
        <f>IF('02_Ejecucion_V0'!J24="","",'02_Ejecucion_V0'!J24)</f>
        <v/>
      </c>
      <c r="G24" s="15">
        <f>IF('03_Ejecucion_V1'!I24="","",'03_Ejecucion_V1'!I24)</f>
        <v/>
      </c>
      <c r="H24" s="16">
        <f>IF('03_Ejecucion_V1'!J24="","",'03_Ejecucion_V1'!J24)</f>
        <v/>
      </c>
      <c r="I24" s="16">
        <f>IF(OR($F24="",$H24=""),"",$H24-$F24)</f>
        <v/>
      </c>
      <c r="J24" s="15">
        <f>IF($I24="","",IF($I24&gt;0,"MEJORA",IF($I24&lt;0,"REGRESION","IGUAL")))</f>
        <v/>
      </c>
    </row>
    <row r="25" ht="30" customHeight="1">
      <c r="A25" s="11">
        <f>'01_Banco_preguntas'!A25</f>
        <v/>
      </c>
      <c r="B25" s="11">
        <f>'01_Banco_preguntas'!B25</f>
        <v/>
      </c>
      <c r="C25" s="11">
        <f>'01_Banco_preguntas'!C25</f>
        <v/>
      </c>
      <c r="D25" s="11">
        <f>'01_Banco_preguntas'!D25</f>
        <v/>
      </c>
      <c r="E25" s="15">
        <f>IF('02_Ejecucion_V0'!I25="","",'02_Ejecucion_V0'!I25)</f>
        <v/>
      </c>
      <c r="F25" s="16">
        <f>IF('02_Ejecucion_V0'!J25="","",'02_Ejecucion_V0'!J25)</f>
        <v/>
      </c>
      <c r="G25" s="15">
        <f>IF('03_Ejecucion_V1'!I25="","",'03_Ejecucion_V1'!I25)</f>
        <v/>
      </c>
      <c r="H25" s="16">
        <f>IF('03_Ejecucion_V1'!J25="","",'03_Ejecucion_V1'!J25)</f>
        <v/>
      </c>
      <c r="I25" s="16">
        <f>IF(OR($F25="",$H25=""),"",$H25-$F25)</f>
        <v/>
      </c>
      <c r="J25" s="15">
        <f>IF($I25="","",IF($I25&gt;0,"MEJORA",IF($I25&lt;0,"REGRESION","IGUAL")))</f>
        <v/>
      </c>
    </row>
    <row r="26" ht="30" customHeight="1">
      <c r="A26" s="11">
        <f>'01_Banco_preguntas'!A26</f>
        <v/>
      </c>
      <c r="B26" s="11">
        <f>'01_Banco_preguntas'!B26</f>
        <v/>
      </c>
      <c r="C26" s="11">
        <f>'01_Banco_preguntas'!C26</f>
        <v/>
      </c>
      <c r="D26" s="11">
        <f>'01_Banco_preguntas'!D26</f>
        <v/>
      </c>
      <c r="E26" s="15">
        <f>IF('02_Ejecucion_V0'!I26="","",'02_Ejecucion_V0'!I26)</f>
        <v/>
      </c>
      <c r="F26" s="16">
        <f>IF('02_Ejecucion_V0'!J26="","",'02_Ejecucion_V0'!J26)</f>
        <v/>
      </c>
      <c r="G26" s="15">
        <f>IF('03_Ejecucion_V1'!I26="","",'03_Ejecucion_V1'!I26)</f>
        <v/>
      </c>
      <c r="H26" s="16">
        <f>IF('03_Ejecucion_V1'!J26="","",'03_Ejecucion_V1'!J26)</f>
        <v/>
      </c>
      <c r="I26" s="16">
        <f>IF(OR($F26="",$H26=""),"",$H26-$F26)</f>
        <v/>
      </c>
      <c r="J26" s="15">
        <f>IF($I26="","",IF($I26&gt;0,"MEJORA",IF($I26&lt;0,"REGRESION","IGUAL")))</f>
        <v/>
      </c>
    </row>
    <row r="27" ht="30" customHeight="1">
      <c r="A27" s="11">
        <f>'01_Banco_preguntas'!A27</f>
        <v/>
      </c>
      <c r="B27" s="11">
        <f>'01_Banco_preguntas'!B27</f>
        <v/>
      </c>
      <c r="C27" s="11">
        <f>'01_Banco_preguntas'!C27</f>
        <v/>
      </c>
      <c r="D27" s="11">
        <f>'01_Banco_preguntas'!D27</f>
        <v/>
      </c>
      <c r="E27" s="15">
        <f>IF('02_Ejecucion_V0'!I27="","",'02_Ejecucion_V0'!I27)</f>
        <v/>
      </c>
      <c r="F27" s="16">
        <f>IF('02_Ejecucion_V0'!J27="","",'02_Ejecucion_V0'!J27)</f>
        <v/>
      </c>
      <c r="G27" s="15">
        <f>IF('03_Ejecucion_V1'!I27="","",'03_Ejecucion_V1'!I27)</f>
        <v/>
      </c>
      <c r="H27" s="16">
        <f>IF('03_Ejecucion_V1'!J27="","",'03_Ejecucion_V1'!J27)</f>
        <v/>
      </c>
      <c r="I27" s="16">
        <f>IF(OR($F27="",$H27=""),"",$H27-$F27)</f>
        <v/>
      </c>
      <c r="J27" s="15">
        <f>IF($I27="","",IF($I27&gt;0,"MEJORA",IF($I27&lt;0,"REGRESION","IGUAL")))</f>
        <v/>
      </c>
    </row>
    <row r="28" ht="30" customHeight="1">
      <c r="A28" s="11">
        <f>'01_Banco_preguntas'!A28</f>
        <v/>
      </c>
      <c r="B28" s="11">
        <f>'01_Banco_preguntas'!B28</f>
        <v/>
      </c>
      <c r="C28" s="11">
        <f>'01_Banco_preguntas'!C28</f>
        <v/>
      </c>
      <c r="D28" s="11">
        <f>'01_Banco_preguntas'!D28</f>
        <v/>
      </c>
      <c r="E28" s="15">
        <f>IF('02_Ejecucion_V0'!I28="","",'02_Ejecucion_V0'!I28)</f>
        <v/>
      </c>
      <c r="F28" s="16">
        <f>IF('02_Ejecucion_V0'!J28="","",'02_Ejecucion_V0'!J28)</f>
        <v/>
      </c>
      <c r="G28" s="15">
        <f>IF('03_Ejecucion_V1'!I28="","",'03_Ejecucion_V1'!I28)</f>
        <v/>
      </c>
      <c r="H28" s="16">
        <f>IF('03_Ejecucion_V1'!J28="","",'03_Ejecucion_V1'!J28)</f>
        <v/>
      </c>
      <c r="I28" s="16">
        <f>IF(OR($F28="",$H28=""),"",$H28-$F28)</f>
        <v/>
      </c>
      <c r="J28" s="15">
        <f>IF($I28="","",IF($I28&gt;0,"MEJORA",IF($I28&lt;0,"REGRESION","IGUAL")))</f>
        <v/>
      </c>
    </row>
    <row r="29" ht="30" customHeight="1">
      <c r="A29" s="11">
        <f>'01_Banco_preguntas'!A29</f>
        <v/>
      </c>
      <c r="B29" s="11">
        <f>'01_Banco_preguntas'!B29</f>
        <v/>
      </c>
      <c r="C29" s="11">
        <f>'01_Banco_preguntas'!C29</f>
        <v/>
      </c>
      <c r="D29" s="11">
        <f>'01_Banco_preguntas'!D29</f>
        <v/>
      </c>
      <c r="E29" s="15">
        <f>IF('02_Ejecucion_V0'!I29="","",'02_Ejecucion_V0'!I29)</f>
        <v/>
      </c>
      <c r="F29" s="16">
        <f>IF('02_Ejecucion_V0'!J29="","",'02_Ejecucion_V0'!J29)</f>
        <v/>
      </c>
      <c r="G29" s="15">
        <f>IF('03_Ejecucion_V1'!I29="","",'03_Ejecucion_V1'!I29)</f>
        <v/>
      </c>
      <c r="H29" s="16">
        <f>IF('03_Ejecucion_V1'!J29="","",'03_Ejecucion_V1'!J29)</f>
        <v/>
      </c>
      <c r="I29" s="16">
        <f>IF(OR($F29="",$H29=""),"",$H29-$F29)</f>
        <v/>
      </c>
      <c r="J29" s="15">
        <f>IF($I29="","",IF($I29&gt;0,"MEJORA",IF($I29&lt;0,"REGRESION","IGUAL")))</f>
        <v/>
      </c>
    </row>
    <row r="30" ht="30" customHeight="1">
      <c r="A30" s="11">
        <f>'01_Banco_preguntas'!A30</f>
        <v/>
      </c>
      <c r="B30" s="11">
        <f>'01_Banco_preguntas'!B30</f>
        <v/>
      </c>
      <c r="C30" s="11">
        <f>'01_Banco_preguntas'!C30</f>
        <v/>
      </c>
      <c r="D30" s="11">
        <f>'01_Banco_preguntas'!D30</f>
        <v/>
      </c>
      <c r="E30" s="15">
        <f>IF('02_Ejecucion_V0'!I30="","",'02_Ejecucion_V0'!I30)</f>
        <v/>
      </c>
      <c r="F30" s="16">
        <f>IF('02_Ejecucion_V0'!J30="","",'02_Ejecucion_V0'!J30)</f>
        <v/>
      </c>
      <c r="G30" s="15">
        <f>IF('03_Ejecucion_V1'!I30="","",'03_Ejecucion_V1'!I30)</f>
        <v/>
      </c>
      <c r="H30" s="16">
        <f>IF('03_Ejecucion_V1'!J30="","",'03_Ejecucion_V1'!J30)</f>
        <v/>
      </c>
      <c r="I30" s="16">
        <f>IF(OR($F30="",$H30=""),"",$H30-$F30)</f>
        <v/>
      </c>
      <c r="J30" s="15">
        <f>IF($I30="","",IF($I30&gt;0,"MEJORA",IF($I30&lt;0,"REGRESION","IGUAL")))</f>
        <v/>
      </c>
    </row>
    <row r="31" ht="30" customHeight="1">
      <c r="A31" s="11">
        <f>'01_Banco_preguntas'!A31</f>
        <v/>
      </c>
      <c r="B31" s="11">
        <f>'01_Banco_preguntas'!B31</f>
        <v/>
      </c>
      <c r="C31" s="11">
        <f>'01_Banco_preguntas'!C31</f>
        <v/>
      </c>
      <c r="D31" s="11">
        <f>'01_Banco_preguntas'!D31</f>
        <v/>
      </c>
      <c r="E31" s="15">
        <f>IF('02_Ejecucion_V0'!I31="","",'02_Ejecucion_V0'!I31)</f>
        <v/>
      </c>
      <c r="F31" s="16">
        <f>IF('02_Ejecucion_V0'!J31="","",'02_Ejecucion_V0'!J31)</f>
        <v/>
      </c>
      <c r="G31" s="15">
        <f>IF('03_Ejecucion_V1'!I31="","",'03_Ejecucion_V1'!I31)</f>
        <v/>
      </c>
      <c r="H31" s="16">
        <f>IF('03_Ejecucion_V1'!J31="","",'03_Ejecucion_V1'!J31)</f>
        <v/>
      </c>
      <c r="I31" s="16">
        <f>IF(OR($F31="",$H31=""),"",$H31-$F31)</f>
        <v/>
      </c>
      <c r="J31" s="15">
        <f>IF($I31="","",IF($I31&gt;0,"MEJORA",IF($I31&lt;0,"REGRESION","IGUAL")))</f>
        <v/>
      </c>
    </row>
    <row r="32" ht="30" customHeight="1">
      <c r="A32" s="11">
        <f>'01_Banco_preguntas'!A32</f>
        <v/>
      </c>
      <c r="B32" s="11">
        <f>'01_Banco_preguntas'!B32</f>
        <v/>
      </c>
      <c r="C32" s="11">
        <f>'01_Banco_preguntas'!C32</f>
        <v/>
      </c>
      <c r="D32" s="11">
        <f>'01_Banco_preguntas'!D32</f>
        <v/>
      </c>
      <c r="E32" s="15">
        <f>IF('02_Ejecucion_V0'!I32="","",'02_Ejecucion_V0'!I32)</f>
        <v/>
      </c>
      <c r="F32" s="16">
        <f>IF('02_Ejecucion_V0'!J32="","",'02_Ejecucion_V0'!J32)</f>
        <v/>
      </c>
      <c r="G32" s="15">
        <f>IF('03_Ejecucion_V1'!I32="","",'03_Ejecucion_V1'!I32)</f>
        <v/>
      </c>
      <c r="H32" s="16">
        <f>IF('03_Ejecucion_V1'!J32="","",'03_Ejecucion_V1'!J32)</f>
        <v/>
      </c>
      <c r="I32" s="16">
        <f>IF(OR($F32="",$H32=""),"",$H32-$F32)</f>
        <v/>
      </c>
      <c r="J32" s="15">
        <f>IF($I32="","",IF($I32&gt;0,"MEJORA",IF($I32&lt;0,"REGRESION","IGUAL")))</f>
        <v/>
      </c>
    </row>
    <row r="33" ht="30" customHeight="1">
      <c r="A33" s="11">
        <f>'01_Banco_preguntas'!A33</f>
        <v/>
      </c>
      <c r="B33" s="11">
        <f>'01_Banco_preguntas'!B33</f>
        <v/>
      </c>
      <c r="C33" s="11">
        <f>'01_Banco_preguntas'!C33</f>
        <v/>
      </c>
      <c r="D33" s="11">
        <f>'01_Banco_preguntas'!D33</f>
        <v/>
      </c>
      <c r="E33" s="15">
        <f>IF('02_Ejecucion_V0'!I33="","",'02_Ejecucion_V0'!I33)</f>
        <v/>
      </c>
      <c r="F33" s="16">
        <f>IF('02_Ejecucion_V0'!J33="","",'02_Ejecucion_V0'!J33)</f>
        <v/>
      </c>
      <c r="G33" s="15">
        <f>IF('03_Ejecucion_V1'!I33="","",'03_Ejecucion_V1'!I33)</f>
        <v/>
      </c>
      <c r="H33" s="16">
        <f>IF('03_Ejecucion_V1'!J33="","",'03_Ejecucion_V1'!J33)</f>
        <v/>
      </c>
      <c r="I33" s="16">
        <f>IF(OR($F33="",$H33=""),"",$H33-$F33)</f>
        <v/>
      </c>
      <c r="J33" s="15">
        <f>IF($I33="","",IF($I33&gt;0,"MEJORA",IF($I33&lt;0,"REGRESION","IGUAL")))</f>
        <v/>
      </c>
    </row>
    <row r="34" ht="30" customHeight="1">
      <c r="A34" s="11">
        <f>'01_Banco_preguntas'!A34</f>
        <v/>
      </c>
      <c r="B34" s="11">
        <f>'01_Banco_preguntas'!B34</f>
        <v/>
      </c>
      <c r="C34" s="11">
        <f>'01_Banco_preguntas'!C34</f>
        <v/>
      </c>
      <c r="D34" s="11">
        <f>'01_Banco_preguntas'!D34</f>
        <v/>
      </c>
      <c r="E34" s="15">
        <f>IF('02_Ejecucion_V0'!I34="","",'02_Ejecucion_V0'!I34)</f>
        <v/>
      </c>
      <c r="F34" s="16">
        <f>IF('02_Ejecucion_V0'!J34="","",'02_Ejecucion_V0'!J34)</f>
        <v/>
      </c>
      <c r="G34" s="15">
        <f>IF('03_Ejecucion_V1'!I34="","",'03_Ejecucion_V1'!I34)</f>
        <v/>
      </c>
      <c r="H34" s="16">
        <f>IF('03_Ejecucion_V1'!J34="","",'03_Ejecucion_V1'!J34)</f>
        <v/>
      </c>
      <c r="I34" s="16">
        <f>IF(OR($F34="",$H34=""),"",$H34-$F34)</f>
        <v/>
      </c>
      <c r="J34" s="15">
        <f>IF($I34="","",IF($I34&gt;0,"MEJORA",IF($I34&lt;0,"REGRESION","IGUAL")))</f>
        <v/>
      </c>
    </row>
    <row r="35" ht="30" customHeight="1">
      <c r="A35" s="11">
        <f>'01_Banco_preguntas'!A35</f>
        <v/>
      </c>
      <c r="B35" s="11">
        <f>'01_Banco_preguntas'!B35</f>
        <v/>
      </c>
      <c r="C35" s="11">
        <f>'01_Banco_preguntas'!C35</f>
        <v/>
      </c>
      <c r="D35" s="11">
        <f>'01_Banco_preguntas'!D35</f>
        <v/>
      </c>
      <c r="E35" s="15">
        <f>IF('02_Ejecucion_V0'!I35="","",'02_Ejecucion_V0'!I35)</f>
        <v/>
      </c>
      <c r="F35" s="16">
        <f>IF('02_Ejecucion_V0'!J35="","",'02_Ejecucion_V0'!J35)</f>
        <v/>
      </c>
      <c r="G35" s="15">
        <f>IF('03_Ejecucion_V1'!I35="","",'03_Ejecucion_V1'!I35)</f>
        <v/>
      </c>
      <c r="H35" s="16">
        <f>IF('03_Ejecucion_V1'!J35="","",'03_Ejecucion_V1'!J35)</f>
        <v/>
      </c>
      <c r="I35" s="16">
        <f>IF(OR($F35="",$H35=""),"",$H35-$F35)</f>
        <v/>
      </c>
      <c r="J35" s="15">
        <f>IF($I35="","",IF($I35&gt;0,"MEJORA",IF($I35&lt;0,"REGRESION","IGUAL")))</f>
        <v/>
      </c>
    </row>
    <row r="36" ht="30" customHeight="1">
      <c r="A36" s="11">
        <f>'01_Banco_preguntas'!A36</f>
        <v/>
      </c>
      <c r="B36" s="11">
        <f>'01_Banco_preguntas'!B36</f>
        <v/>
      </c>
      <c r="C36" s="11">
        <f>'01_Banco_preguntas'!C36</f>
        <v/>
      </c>
      <c r="D36" s="11">
        <f>'01_Banco_preguntas'!D36</f>
        <v/>
      </c>
      <c r="E36" s="15">
        <f>IF('02_Ejecucion_V0'!I36="","",'02_Ejecucion_V0'!I36)</f>
        <v/>
      </c>
      <c r="F36" s="16">
        <f>IF('02_Ejecucion_V0'!J36="","",'02_Ejecucion_V0'!J36)</f>
        <v/>
      </c>
      <c r="G36" s="15">
        <f>IF('03_Ejecucion_V1'!I36="","",'03_Ejecucion_V1'!I36)</f>
        <v/>
      </c>
      <c r="H36" s="16">
        <f>IF('03_Ejecucion_V1'!J36="","",'03_Ejecucion_V1'!J36)</f>
        <v/>
      </c>
      <c r="I36" s="16">
        <f>IF(OR($F36="",$H36=""),"",$H36-$F36)</f>
        <v/>
      </c>
      <c r="J36" s="15">
        <f>IF($I36="","",IF($I36&gt;0,"MEJORA",IF($I36&lt;0,"REGRESION","IGUAL")))</f>
        <v/>
      </c>
    </row>
    <row r="37" ht="30" customHeight="1">
      <c r="A37" s="11">
        <f>'01_Banco_preguntas'!A37</f>
        <v/>
      </c>
      <c r="B37" s="11">
        <f>'01_Banco_preguntas'!B37</f>
        <v/>
      </c>
      <c r="C37" s="11">
        <f>'01_Banco_preguntas'!C37</f>
        <v/>
      </c>
      <c r="D37" s="11">
        <f>'01_Banco_preguntas'!D37</f>
        <v/>
      </c>
      <c r="E37" s="15">
        <f>IF('02_Ejecucion_V0'!I37="","",'02_Ejecucion_V0'!I37)</f>
        <v/>
      </c>
      <c r="F37" s="16">
        <f>IF('02_Ejecucion_V0'!J37="","",'02_Ejecucion_V0'!J37)</f>
        <v/>
      </c>
      <c r="G37" s="15">
        <f>IF('03_Ejecucion_V1'!I37="","",'03_Ejecucion_V1'!I37)</f>
        <v/>
      </c>
      <c r="H37" s="16">
        <f>IF('03_Ejecucion_V1'!J37="","",'03_Ejecucion_V1'!J37)</f>
        <v/>
      </c>
      <c r="I37" s="16">
        <f>IF(OR($F37="",$H37=""),"",$H37-$F37)</f>
        <v/>
      </c>
      <c r="J37" s="15">
        <f>IF($I37="","",IF($I37&gt;0,"MEJORA",IF($I37&lt;0,"REGRESION","IGUAL")))</f>
        <v/>
      </c>
    </row>
    <row r="38" ht="30" customHeight="1">
      <c r="A38" s="11">
        <f>'01_Banco_preguntas'!A38</f>
        <v/>
      </c>
      <c r="B38" s="11">
        <f>'01_Banco_preguntas'!B38</f>
        <v/>
      </c>
      <c r="C38" s="11">
        <f>'01_Banco_preguntas'!C38</f>
        <v/>
      </c>
      <c r="D38" s="11">
        <f>'01_Banco_preguntas'!D38</f>
        <v/>
      </c>
      <c r="E38" s="15">
        <f>IF('02_Ejecucion_V0'!I38="","",'02_Ejecucion_V0'!I38)</f>
        <v/>
      </c>
      <c r="F38" s="16">
        <f>IF('02_Ejecucion_V0'!J38="","",'02_Ejecucion_V0'!J38)</f>
        <v/>
      </c>
      <c r="G38" s="15">
        <f>IF('03_Ejecucion_V1'!I38="","",'03_Ejecucion_V1'!I38)</f>
        <v/>
      </c>
      <c r="H38" s="16">
        <f>IF('03_Ejecucion_V1'!J38="","",'03_Ejecucion_V1'!J38)</f>
        <v/>
      </c>
      <c r="I38" s="16">
        <f>IF(OR($F38="",$H38=""),"",$H38-$F38)</f>
        <v/>
      </c>
      <c r="J38" s="15">
        <f>IF($I38="","",IF($I38&gt;0,"MEJORA",IF($I38&lt;0,"REGRESION","IGUAL")))</f>
        <v/>
      </c>
    </row>
    <row r="39" ht="30" customHeight="1">
      <c r="A39" s="11">
        <f>'01_Banco_preguntas'!A39</f>
        <v/>
      </c>
      <c r="B39" s="11">
        <f>'01_Banco_preguntas'!B39</f>
        <v/>
      </c>
      <c r="C39" s="11">
        <f>'01_Banco_preguntas'!C39</f>
        <v/>
      </c>
      <c r="D39" s="11">
        <f>'01_Banco_preguntas'!D39</f>
        <v/>
      </c>
      <c r="E39" s="15">
        <f>IF('02_Ejecucion_V0'!I39="","",'02_Ejecucion_V0'!I39)</f>
        <v/>
      </c>
      <c r="F39" s="16">
        <f>IF('02_Ejecucion_V0'!J39="","",'02_Ejecucion_V0'!J39)</f>
        <v/>
      </c>
      <c r="G39" s="15">
        <f>IF('03_Ejecucion_V1'!I39="","",'03_Ejecucion_V1'!I39)</f>
        <v/>
      </c>
      <c r="H39" s="16">
        <f>IF('03_Ejecucion_V1'!J39="","",'03_Ejecucion_V1'!J39)</f>
        <v/>
      </c>
      <c r="I39" s="16">
        <f>IF(OR($F39="",$H39=""),"",$H39-$F39)</f>
        <v/>
      </c>
      <c r="J39" s="15">
        <f>IF($I39="","",IF($I39&gt;0,"MEJORA",IF($I39&lt;0,"REGRESION","IGUAL")))</f>
        <v/>
      </c>
    </row>
    <row r="40" ht="30" customHeight="1">
      <c r="A40" s="11">
        <f>'01_Banco_preguntas'!A40</f>
        <v/>
      </c>
      <c r="B40" s="11">
        <f>'01_Banco_preguntas'!B40</f>
        <v/>
      </c>
      <c r="C40" s="11">
        <f>'01_Banco_preguntas'!C40</f>
        <v/>
      </c>
      <c r="D40" s="11">
        <f>'01_Banco_preguntas'!D40</f>
        <v/>
      </c>
      <c r="E40" s="15">
        <f>IF('02_Ejecucion_V0'!I40="","",'02_Ejecucion_V0'!I40)</f>
        <v/>
      </c>
      <c r="F40" s="16">
        <f>IF('02_Ejecucion_V0'!J40="","",'02_Ejecucion_V0'!J40)</f>
        <v/>
      </c>
      <c r="G40" s="15">
        <f>IF('03_Ejecucion_V1'!I40="","",'03_Ejecucion_V1'!I40)</f>
        <v/>
      </c>
      <c r="H40" s="16">
        <f>IF('03_Ejecucion_V1'!J40="","",'03_Ejecucion_V1'!J40)</f>
        <v/>
      </c>
      <c r="I40" s="16">
        <f>IF(OR($F40="",$H40=""),"",$H40-$F40)</f>
        <v/>
      </c>
      <c r="J40" s="15">
        <f>IF($I40="","",IF($I40&gt;0,"MEJORA",IF($I40&lt;0,"REGRESION","IGUAL")))</f>
        <v/>
      </c>
    </row>
    <row r="41" ht="30" customHeight="1">
      <c r="A41" s="11">
        <f>'01_Banco_preguntas'!A41</f>
        <v/>
      </c>
      <c r="B41" s="11">
        <f>'01_Banco_preguntas'!B41</f>
        <v/>
      </c>
      <c r="C41" s="11">
        <f>'01_Banco_preguntas'!C41</f>
        <v/>
      </c>
      <c r="D41" s="11">
        <f>'01_Banco_preguntas'!D41</f>
        <v/>
      </c>
      <c r="E41" s="15">
        <f>IF('02_Ejecucion_V0'!I41="","",'02_Ejecucion_V0'!I41)</f>
        <v/>
      </c>
      <c r="F41" s="16">
        <f>IF('02_Ejecucion_V0'!J41="","",'02_Ejecucion_V0'!J41)</f>
        <v/>
      </c>
      <c r="G41" s="15">
        <f>IF('03_Ejecucion_V1'!I41="","",'03_Ejecucion_V1'!I41)</f>
        <v/>
      </c>
      <c r="H41" s="16">
        <f>IF('03_Ejecucion_V1'!J41="","",'03_Ejecucion_V1'!J41)</f>
        <v/>
      </c>
      <c r="I41" s="16">
        <f>IF(OR($F41="",$H41=""),"",$H41-$F41)</f>
        <v/>
      </c>
      <c r="J41" s="15">
        <f>IF($I41="","",IF($I41&gt;0,"MEJORA",IF($I41&lt;0,"REGRESION","IGUAL")))</f>
        <v/>
      </c>
    </row>
    <row r="42" ht="30" customHeight="1">
      <c r="A42" s="11">
        <f>'01_Banco_preguntas'!A42</f>
        <v/>
      </c>
      <c r="B42" s="11">
        <f>'01_Banco_preguntas'!B42</f>
        <v/>
      </c>
      <c r="C42" s="11">
        <f>'01_Banco_preguntas'!C42</f>
        <v/>
      </c>
      <c r="D42" s="11">
        <f>'01_Banco_preguntas'!D42</f>
        <v/>
      </c>
      <c r="E42" s="15">
        <f>IF('02_Ejecucion_V0'!I42="","",'02_Ejecucion_V0'!I42)</f>
        <v/>
      </c>
      <c r="F42" s="16">
        <f>IF('02_Ejecucion_V0'!J42="","",'02_Ejecucion_V0'!J42)</f>
        <v/>
      </c>
      <c r="G42" s="15">
        <f>IF('03_Ejecucion_V1'!I42="","",'03_Ejecucion_V1'!I42)</f>
        <v/>
      </c>
      <c r="H42" s="16">
        <f>IF('03_Ejecucion_V1'!J42="","",'03_Ejecucion_V1'!J42)</f>
        <v/>
      </c>
      <c r="I42" s="16">
        <f>IF(OR($F42="",$H42=""),"",$H42-$F42)</f>
        <v/>
      </c>
      <c r="J42" s="15">
        <f>IF($I42="","",IF($I42&gt;0,"MEJORA",IF($I42&lt;0,"REGRESION","IGUAL")))</f>
        <v/>
      </c>
    </row>
    <row r="43" ht="30" customHeight="1">
      <c r="A43" s="11">
        <f>'01_Banco_preguntas'!A43</f>
        <v/>
      </c>
      <c r="B43" s="11">
        <f>'01_Banco_preguntas'!B43</f>
        <v/>
      </c>
      <c r="C43" s="11">
        <f>'01_Banco_preguntas'!C43</f>
        <v/>
      </c>
      <c r="D43" s="11">
        <f>'01_Banco_preguntas'!D43</f>
        <v/>
      </c>
      <c r="E43" s="15">
        <f>IF('02_Ejecucion_V0'!I43="","",'02_Ejecucion_V0'!I43)</f>
        <v/>
      </c>
      <c r="F43" s="16">
        <f>IF('02_Ejecucion_V0'!J43="","",'02_Ejecucion_V0'!J43)</f>
        <v/>
      </c>
      <c r="G43" s="15">
        <f>IF('03_Ejecucion_V1'!I43="","",'03_Ejecucion_V1'!I43)</f>
        <v/>
      </c>
      <c r="H43" s="16">
        <f>IF('03_Ejecucion_V1'!J43="","",'03_Ejecucion_V1'!J43)</f>
        <v/>
      </c>
      <c r="I43" s="16">
        <f>IF(OR($F43="",$H43=""),"",$H43-$F43)</f>
        <v/>
      </c>
      <c r="J43" s="15">
        <f>IF($I43="","",IF($I43&gt;0,"MEJORA",IF($I43&lt;0,"REGRESION","IGUAL")))</f>
        <v/>
      </c>
    </row>
    <row r="44" ht="30" customHeight="1">
      <c r="A44" s="11">
        <f>'01_Banco_preguntas'!A44</f>
        <v/>
      </c>
      <c r="B44" s="11">
        <f>'01_Banco_preguntas'!B44</f>
        <v/>
      </c>
      <c r="C44" s="11">
        <f>'01_Banco_preguntas'!C44</f>
        <v/>
      </c>
      <c r="D44" s="11">
        <f>'01_Banco_preguntas'!D44</f>
        <v/>
      </c>
      <c r="E44" s="15">
        <f>IF('02_Ejecucion_V0'!I44="","",'02_Ejecucion_V0'!I44)</f>
        <v/>
      </c>
      <c r="F44" s="16">
        <f>IF('02_Ejecucion_V0'!J44="","",'02_Ejecucion_V0'!J44)</f>
        <v/>
      </c>
      <c r="G44" s="15">
        <f>IF('03_Ejecucion_V1'!I44="","",'03_Ejecucion_V1'!I44)</f>
        <v/>
      </c>
      <c r="H44" s="16">
        <f>IF('03_Ejecucion_V1'!J44="","",'03_Ejecucion_V1'!J44)</f>
        <v/>
      </c>
      <c r="I44" s="16">
        <f>IF(OR($F44="",$H44=""),"",$H44-$F44)</f>
        <v/>
      </c>
      <c r="J44" s="15">
        <f>IF($I44="","",IF($I44&gt;0,"MEJORA",IF($I44&lt;0,"REGRESION","IGUAL")))</f>
        <v/>
      </c>
    </row>
    <row r="45" ht="30" customHeight="1">
      <c r="A45" s="11">
        <f>'01_Banco_preguntas'!A45</f>
        <v/>
      </c>
      <c r="B45" s="11">
        <f>'01_Banco_preguntas'!B45</f>
        <v/>
      </c>
      <c r="C45" s="11">
        <f>'01_Banco_preguntas'!C45</f>
        <v/>
      </c>
      <c r="D45" s="11">
        <f>'01_Banco_preguntas'!D45</f>
        <v/>
      </c>
      <c r="E45" s="15">
        <f>IF('02_Ejecucion_V0'!I45="","",'02_Ejecucion_V0'!I45)</f>
        <v/>
      </c>
      <c r="F45" s="16">
        <f>IF('02_Ejecucion_V0'!J45="","",'02_Ejecucion_V0'!J45)</f>
        <v/>
      </c>
      <c r="G45" s="15">
        <f>IF('03_Ejecucion_V1'!I45="","",'03_Ejecucion_V1'!I45)</f>
        <v/>
      </c>
      <c r="H45" s="16">
        <f>IF('03_Ejecucion_V1'!J45="","",'03_Ejecucion_V1'!J45)</f>
        <v/>
      </c>
      <c r="I45" s="16">
        <f>IF(OR($F45="",$H45=""),"",$H45-$F45)</f>
        <v/>
      </c>
      <c r="J45" s="15">
        <f>IF($I45="","",IF($I45&gt;0,"MEJORA",IF($I45&lt;0,"REGRESION","IGUAL")))</f>
        <v/>
      </c>
    </row>
    <row r="46" ht="30" customHeight="1">
      <c r="A46" s="11">
        <f>'01_Banco_preguntas'!A46</f>
        <v/>
      </c>
      <c r="B46" s="11">
        <f>'01_Banco_preguntas'!B46</f>
        <v/>
      </c>
      <c r="C46" s="11">
        <f>'01_Banco_preguntas'!C46</f>
        <v/>
      </c>
      <c r="D46" s="11">
        <f>'01_Banco_preguntas'!D46</f>
        <v/>
      </c>
      <c r="E46" s="15">
        <f>IF('02_Ejecucion_V0'!I46="","",'02_Ejecucion_V0'!I46)</f>
        <v/>
      </c>
      <c r="F46" s="16">
        <f>IF('02_Ejecucion_V0'!J46="","",'02_Ejecucion_V0'!J46)</f>
        <v/>
      </c>
      <c r="G46" s="15">
        <f>IF('03_Ejecucion_V1'!I46="","",'03_Ejecucion_V1'!I46)</f>
        <v/>
      </c>
      <c r="H46" s="16">
        <f>IF('03_Ejecucion_V1'!J46="","",'03_Ejecucion_V1'!J46)</f>
        <v/>
      </c>
      <c r="I46" s="16">
        <f>IF(OR($F46="",$H46=""),"",$H46-$F46)</f>
        <v/>
      </c>
      <c r="J46" s="15">
        <f>IF($I46="","",IF($I46&gt;0,"MEJORA",IF($I46&lt;0,"REGRESION","IGUAL")))</f>
        <v/>
      </c>
    </row>
    <row r="47" ht="30" customHeight="1">
      <c r="A47" s="11">
        <f>'01_Banco_preguntas'!A47</f>
        <v/>
      </c>
      <c r="B47" s="11">
        <f>'01_Banco_preguntas'!B47</f>
        <v/>
      </c>
      <c r="C47" s="11">
        <f>'01_Banco_preguntas'!C47</f>
        <v/>
      </c>
      <c r="D47" s="11">
        <f>'01_Banco_preguntas'!D47</f>
        <v/>
      </c>
      <c r="E47" s="15">
        <f>IF('02_Ejecucion_V0'!I47="","",'02_Ejecucion_V0'!I47)</f>
        <v/>
      </c>
      <c r="F47" s="16">
        <f>IF('02_Ejecucion_V0'!J47="","",'02_Ejecucion_V0'!J47)</f>
        <v/>
      </c>
      <c r="G47" s="15">
        <f>IF('03_Ejecucion_V1'!I47="","",'03_Ejecucion_V1'!I47)</f>
        <v/>
      </c>
      <c r="H47" s="16">
        <f>IF('03_Ejecucion_V1'!J47="","",'03_Ejecucion_V1'!J47)</f>
        <v/>
      </c>
      <c r="I47" s="16">
        <f>IF(OR($F47="",$H47=""),"",$H47-$F47)</f>
        <v/>
      </c>
      <c r="J47" s="15">
        <f>IF($I47="","",IF($I47&gt;0,"MEJORA",IF($I47&lt;0,"REGRESION","IGUAL")))</f>
        <v/>
      </c>
    </row>
    <row r="48" ht="30" customHeight="1">
      <c r="A48" s="11">
        <f>'01_Banco_preguntas'!A48</f>
        <v/>
      </c>
      <c r="B48" s="11">
        <f>'01_Banco_preguntas'!B48</f>
        <v/>
      </c>
      <c r="C48" s="11">
        <f>'01_Banco_preguntas'!C48</f>
        <v/>
      </c>
      <c r="D48" s="11">
        <f>'01_Banco_preguntas'!D48</f>
        <v/>
      </c>
      <c r="E48" s="15">
        <f>IF('02_Ejecucion_V0'!I48="","",'02_Ejecucion_V0'!I48)</f>
        <v/>
      </c>
      <c r="F48" s="16">
        <f>IF('02_Ejecucion_V0'!J48="","",'02_Ejecucion_V0'!J48)</f>
        <v/>
      </c>
      <c r="G48" s="15">
        <f>IF('03_Ejecucion_V1'!I48="","",'03_Ejecucion_V1'!I48)</f>
        <v/>
      </c>
      <c r="H48" s="16">
        <f>IF('03_Ejecucion_V1'!J48="","",'03_Ejecucion_V1'!J48)</f>
        <v/>
      </c>
      <c r="I48" s="16">
        <f>IF(OR($F48="",$H48=""),"",$H48-$F48)</f>
        <v/>
      </c>
      <c r="J48" s="15">
        <f>IF($I48="","",IF($I48&gt;0,"MEJORA",IF($I48&lt;0,"REGRESION","IGUAL")))</f>
        <v/>
      </c>
    </row>
    <row r="49" ht="30" customHeight="1">
      <c r="A49" s="11">
        <f>'01_Banco_preguntas'!A49</f>
        <v/>
      </c>
      <c r="B49" s="11">
        <f>'01_Banco_preguntas'!B49</f>
        <v/>
      </c>
      <c r="C49" s="11">
        <f>'01_Banco_preguntas'!C49</f>
        <v/>
      </c>
      <c r="D49" s="11">
        <f>'01_Banco_preguntas'!D49</f>
        <v/>
      </c>
      <c r="E49" s="15">
        <f>IF('02_Ejecucion_V0'!I49="","",'02_Ejecucion_V0'!I49)</f>
        <v/>
      </c>
      <c r="F49" s="16">
        <f>IF('02_Ejecucion_V0'!J49="","",'02_Ejecucion_V0'!J49)</f>
        <v/>
      </c>
      <c r="G49" s="15">
        <f>IF('03_Ejecucion_V1'!I49="","",'03_Ejecucion_V1'!I49)</f>
        <v/>
      </c>
      <c r="H49" s="16">
        <f>IF('03_Ejecucion_V1'!J49="","",'03_Ejecucion_V1'!J49)</f>
        <v/>
      </c>
      <c r="I49" s="16">
        <f>IF(OR($F49="",$H49=""),"",$H49-$F49)</f>
        <v/>
      </c>
      <c r="J49" s="15">
        <f>IF($I49="","",IF($I49&gt;0,"MEJORA",IF($I49&lt;0,"REGRESION","IGUAL")))</f>
        <v/>
      </c>
    </row>
    <row r="50" ht="30" customHeight="1">
      <c r="A50" s="11">
        <f>'01_Banco_preguntas'!A50</f>
        <v/>
      </c>
      <c r="B50" s="11">
        <f>'01_Banco_preguntas'!B50</f>
        <v/>
      </c>
      <c r="C50" s="11">
        <f>'01_Banco_preguntas'!C50</f>
        <v/>
      </c>
      <c r="D50" s="11">
        <f>'01_Banco_preguntas'!D50</f>
        <v/>
      </c>
      <c r="E50" s="15">
        <f>IF('02_Ejecucion_V0'!I50="","",'02_Ejecucion_V0'!I50)</f>
        <v/>
      </c>
      <c r="F50" s="16">
        <f>IF('02_Ejecucion_V0'!J50="","",'02_Ejecucion_V0'!J50)</f>
        <v/>
      </c>
      <c r="G50" s="15">
        <f>IF('03_Ejecucion_V1'!I50="","",'03_Ejecucion_V1'!I50)</f>
        <v/>
      </c>
      <c r="H50" s="16">
        <f>IF('03_Ejecucion_V1'!J50="","",'03_Ejecucion_V1'!J50)</f>
        <v/>
      </c>
      <c r="I50" s="16">
        <f>IF(OR($F50="",$H50=""),"",$H50-$F50)</f>
        <v/>
      </c>
      <c r="J50" s="15">
        <f>IF($I50="","",IF($I50&gt;0,"MEJORA",IF($I50&lt;0,"REGRESION","IGUAL")))</f>
        <v/>
      </c>
    </row>
    <row r="51" ht="30" customHeight="1">
      <c r="A51" s="11">
        <f>'01_Banco_preguntas'!A51</f>
        <v/>
      </c>
      <c r="B51" s="11">
        <f>'01_Banco_preguntas'!B51</f>
        <v/>
      </c>
      <c r="C51" s="11">
        <f>'01_Banco_preguntas'!C51</f>
        <v/>
      </c>
      <c r="D51" s="11">
        <f>'01_Banco_preguntas'!D51</f>
        <v/>
      </c>
      <c r="E51" s="15">
        <f>IF('02_Ejecucion_V0'!I51="","",'02_Ejecucion_V0'!I51)</f>
        <v/>
      </c>
      <c r="F51" s="16">
        <f>IF('02_Ejecucion_V0'!J51="","",'02_Ejecucion_V0'!J51)</f>
        <v/>
      </c>
      <c r="G51" s="15">
        <f>IF('03_Ejecucion_V1'!I51="","",'03_Ejecucion_V1'!I51)</f>
        <v/>
      </c>
      <c r="H51" s="16">
        <f>IF('03_Ejecucion_V1'!J51="","",'03_Ejecucion_V1'!J51)</f>
        <v/>
      </c>
      <c r="I51" s="16">
        <f>IF(OR($F51="",$H51=""),"",$H51-$F51)</f>
        <v/>
      </c>
      <c r="J51" s="15">
        <f>IF($I51="","",IF($I51&gt;0,"MEJORA",IF($I51&lt;0,"REGRESION","IGUAL")))</f>
        <v/>
      </c>
    </row>
  </sheetData>
  <autoFilter ref="A1:J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2">
      <c r="B2" s="1" t="inlineStr">
        <is>
          <t>Panel de resultados — LucIA V0 vs V1</t>
        </is>
      </c>
    </row>
    <row r="4">
      <c r="B4" s="3" t="inlineStr">
        <is>
          <t>1 · Recuento por veredicto</t>
        </is>
      </c>
    </row>
    <row r="5">
      <c r="B5" s="10" t="inlineStr">
        <is>
          <t>veredicto</t>
        </is>
      </c>
      <c r="C5" s="10" t="inlineStr">
        <is>
          <t>V0</t>
        </is>
      </c>
      <c r="D5" s="10" t="inlineStr">
        <is>
          <t>V1</t>
        </is>
      </c>
      <c r="E5" s="10" t="inlineStr">
        <is>
          <t>delta</t>
        </is>
      </c>
      <c r="F5" s="10" t="inlineStr">
        <is>
          <t>lectura</t>
        </is>
      </c>
    </row>
    <row r="6">
      <c r="B6" s="17" t="inlineStr">
        <is>
          <t>ACIERTO</t>
        </is>
      </c>
      <c r="C6" s="15">
        <f>COUNTIF('02_Ejecucion_V0'!$I$2:$I$51,$B6)</f>
        <v/>
      </c>
      <c r="D6" s="15">
        <f>COUNTIF('03_Ejecucion_V1'!$I$2:$I$51,$B6)</f>
        <v/>
      </c>
      <c r="E6" s="15">
        <f>$D6-$C6</f>
        <v/>
      </c>
      <c r="F6" s="18" t="inlineStr">
        <is>
          <t>Cita el documento correcto y responde con su contenido.</t>
        </is>
      </c>
    </row>
    <row r="7">
      <c r="B7" s="17" t="inlineStr">
        <is>
          <t>PARCIAL</t>
        </is>
      </c>
      <c r="C7" s="15">
        <f>COUNTIF('02_Ejecucion_V0'!$I$2:$I$51,$B7)</f>
        <v/>
      </c>
      <c r="D7" s="15">
        <f>COUNTIF('03_Ejecucion_V1'!$I$2:$I$51,$B7)</f>
        <v/>
      </c>
      <c r="E7" s="15">
        <f>$D7-$C7</f>
        <v/>
      </c>
      <c r="F7" s="18" t="inlineStr">
        <is>
          <t>Se acerca: cita parcial o respuesta incompleta pero sin errores.</t>
        </is>
      </c>
    </row>
    <row r="8">
      <c r="B8" s="17" t="inlineStr">
        <is>
          <t>FALLO</t>
        </is>
      </c>
      <c r="C8" s="15">
        <f>COUNTIF('02_Ejecucion_V0'!$I$2:$I$51,$B8)</f>
        <v/>
      </c>
      <c r="D8" s="15">
        <f>COUNTIF('03_Ejecucion_V1'!$I$2:$I$51,$B8)</f>
        <v/>
      </c>
      <c r="E8" s="15">
        <f>$D8-$C8</f>
        <v/>
      </c>
      <c r="F8" s="18" t="inlineStr">
        <is>
          <t>Cita el documento equivocado o no cita ninguno.</t>
        </is>
      </c>
    </row>
    <row r="9">
      <c r="B9" s="17" t="inlineStr">
        <is>
          <t>SIN_RESPUESTA</t>
        </is>
      </c>
      <c r="C9" s="15">
        <f>COUNTIF('02_Ejecucion_V0'!$I$2:$I$51,$B9)</f>
        <v/>
      </c>
      <c r="D9" s="15">
        <f>COUNTIF('03_Ejecucion_V1'!$I$2:$I$51,$B9)</f>
        <v/>
      </c>
      <c r="E9" s="15">
        <f>$D9-$C9</f>
        <v/>
      </c>
      <c r="F9" s="18" t="inlineStr">
        <is>
          <t>No contesta. Preferible a inventar.</t>
        </is>
      </c>
    </row>
    <row r="10">
      <c r="B10" s="17" t="inlineStr">
        <is>
          <t>ALUCINACION</t>
        </is>
      </c>
      <c r="C10" s="15">
        <f>COUNTIF('02_Ejecucion_V0'!$I$2:$I$51,$B10)</f>
        <v/>
      </c>
      <c r="D10" s="15">
        <f>COUNTIF('03_Ejecucion_V1'!$I$2:$I$51,$B10)</f>
        <v/>
      </c>
      <c r="E10" s="15">
        <f>$D10-$C10</f>
        <v/>
      </c>
      <c r="F10" s="18" t="inlineStr">
        <is>
          <t>Afirma datos que no estan en la documentacion. El riesgo real.</t>
        </is>
      </c>
    </row>
    <row r="11">
      <c r="B11" s="19" t="inlineStr">
        <is>
          <t>Preguntas evaluadas</t>
        </is>
      </c>
      <c r="C11" s="20">
        <f>SUM($C$6:$C$10)</f>
        <v/>
      </c>
      <c r="D11" s="20">
        <f>SUM($D$6:$D$10)</f>
        <v/>
      </c>
      <c r="E11" s="20">
        <f>$D11-$C11</f>
        <v/>
      </c>
    </row>
    <row r="14">
      <c r="B14" s="3" t="inlineStr">
        <is>
          <t>2 · Indicadores</t>
        </is>
      </c>
    </row>
    <row r="15">
      <c r="B15" s="10" t="inlineStr">
        <is>
          <t>indicador</t>
        </is>
      </c>
      <c r="C15" s="10" t="inlineStr">
        <is>
          <t>V0</t>
        </is>
      </c>
      <c r="D15" s="10" t="inlineStr">
        <is>
          <t>V1</t>
        </is>
      </c>
      <c r="E15" s="10" t="inlineStr">
        <is>
          <t>delta</t>
        </is>
      </c>
      <c r="F15" s="10" t="inlineStr">
        <is>
          <t>objetivo</t>
        </is>
      </c>
    </row>
    <row r="16">
      <c r="B16" s="17" t="inlineStr">
        <is>
          <t>Tasa de acierto</t>
        </is>
      </c>
      <c r="C16" s="21">
        <f>IF($C$11=0,"",COUNTIF('02_Ejecucion_V0'!$I$2:$I$51,"ACIERTO")/$C$11)</f>
        <v/>
      </c>
      <c r="D16" s="21">
        <f>IF($D$11=0,"",COUNTIF('03_Ejecucion_V1'!$I$2:$I$51,"ACIERTO")/$D$11)</f>
        <v/>
      </c>
      <c r="E16" s="21">
        <f>IF(OR($C16="",$D16=""),"",$D16-$C16)</f>
        <v/>
      </c>
      <c r="F16" s="18" t="inlineStr">
        <is>
          <t>Subir. Es el KPI principal del retesting.</t>
        </is>
      </c>
    </row>
    <row r="17">
      <c r="B17" s="17" t="inlineStr">
        <is>
          <t>Tasa de alucinacion</t>
        </is>
      </c>
      <c r="C17" s="21">
        <f>IF($C$11=0,"",COUNTIF('02_Ejecucion_V0'!$I$2:$I$51,"ALUCINACION")/$C$11)</f>
        <v/>
      </c>
      <c r="D17" s="21">
        <f>IF($D$11=0,"",COUNTIF('03_Ejecucion_V1'!$I$2:$I$51,"ALUCINACION")/$D$11)</f>
        <v/>
      </c>
      <c r="E17" s="21">
        <f>IF(OR($C17="",$D17=""),"",$D17-$C17)</f>
        <v/>
      </c>
      <c r="F17" s="18" t="inlineStr">
        <is>
          <t>Bajar a 0. Criterio de bloqueo para pasar a produccion.</t>
        </is>
      </c>
    </row>
    <row r="18">
      <c r="B18" s="17" t="inlineStr">
        <is>
          <t>Tasa de cita correcta (VAL-002)</t>
        </is>
      </c>
      <c r="C18" s="21">
        <f>IF($C$11=0,"",COUNTIF('02_Ejecucion_V0'!$G$2:$G$51,"SI")/$C$11)</f>
        <v/>
      </c>
      <c r="D18" s="21">
        <f>IF($D$11=0,"",COUNTIF('03_Ejecucion_V1'!$G$2:$G$51,"SI")/$D$11)</f>
        <v/>
      </c>
      <c r="E18" s="21">
        <f>IF(OR($C18="",$D18=""),"",$D18-$C18)</f>
        <v/>
      </c>
      <c r="F18" s="18" t="inlineStr">
        <is>
          <t>Mide si LucIA recupera el documento correcto.</t>
        </is>
      </c>
    </row>
    <row r="19">
      <c r="B19" s="17" t="inlineStr">
        <is>
          <t>Puntuacion total</t>
        </is>
      </c>
      <c r="C19" s="16">
        <f>IF($C$11=0,"",SUM('02_Ejecucion_V0'!$J$2:$J$51))</f>
        <v/>
      </c>
      <c r="D19" s="16">
        <f>IF($D$11=0,"",SUM('03_Ejecucion_V1'!$J$2:$J$51))</f>
        <v/>
      </c>
      <c r="E19" s="16">
        <f>IF(OR($C19="",$D19=""),"",$D19-$C19)</f>
        <v/>
      </c>
      <c r="F19" s="18" t="inlineStr">
        <is>
          <t>Maximo posible: 50,0</t>
        </is>
      </c>
    </row>
    <row r="20">
      <c r="B20" s="17" t="inlineStr">
        <is>
          <t>Puntuacion media por pregunta</t>
        </is>
      </c>
      <c r="C20" s="22">
        <f>IF($C$11=0,"",SUM('02_Ejecucion_V0'!$J$2:$J$51)/$C$11)</f>
        <v/>
      </c>
      <c r="D20" s="22">
        <f>IF($D$11=0,"",SUM('03_Ejecucion_V1'!$J$2:$J$51)/$D$11)</f>
        <v/>
      </c>
      <c r="E20" s="22">
        <f>IF(OR($C20="",$D20=""),"",$D20-$C20)</f>
        <v/>
      </c>
      <c r="F20" s="18" t="inlineStr">
        <is>
          <t>Comparable aunque V0 y V1 tengan distinto numero de preguntas evaluadas.</t>
        </is>
      </c>
    </row>
    <row r="23">
      <c r="B23" s="3" t="inlineStr">
        <is>
          <t>3 · Puntuacion por categoria</t>
        </is>
      </c>
    </row>
    <row r="24">
      <c r="B24" s="10" t="inlineStr">
        <is>
          <t>categoria</t>
        </is>
      </c>
      <c r="C24" s="10" t="inlineStr">
        <is>
          <t>V0</t>
        </is>
      </c>
      <c r="D24" s="10" t="inlineStr">
        <is>
          <t>V1</t>
        </is>
      </c>
      <c r="E24" s="10" t="inlineStr">
        <is>
          <t>delta</t>
        </is>
      </c>
      <c r="F24" s="10" t="inlineStr">
        <is>
          <t>que mide</t>
        </is>
      </c>
    </row>
    <row r="25">
      <c r="B25" s="17" t="inlineStr">
        <is>
          <t>A_DESAMBIGUACION</t>
        </is>
      </c>
      <c r="C25" s="16">
        <f>SUMIFS('02_Ejecucion_V0'!$J$2:$J$51,'01_Banco_preguntas'!$B$2:$B$51,$B25)</f>
        <v/>
      </c>
      <c r="D25" s="16">
        <f>SUMIFS('03_Ejecucion_V1'!$J$2:$J$51,'01_Banco_preguntas'!$B$2:$B$51,$B25)</f>
        <v/>
      </c>
      <c r="E25" s="16">
        <f>$D25-$C25</f>
        <v/>
      </c>
      <c r="F25" s="18" t="inlineStr">
        <is>
          <t>Productos vecinos. TAX-007/TAX-008/META-006 fallan en 15/15 documentos.</t>
        </is>
      </c>
    </row>
    <row r="26">
      <c r="B26" s="17" t="inlineStr">
        <is>
          <t>B_SINONIMOS</t>
        </is>
      </c>
      <c r="C26" s="16">
        <f>SUMIFS('02_Ejecucion_V0'!$J$2:$J$51,'01_Banco_preguntas'!$B$2:$B$51,$B26)</f>
        <v/>
      </c>
      <c r="D26" s="16">
        <f>SUMIFS('03_Ejecucion_V1'!$J$2:$J$51,'01_Banco_preguntas'!$B$2:$B$51,$B26)</f>
        <v/>
      </c>
      <c r="E26" s="16">
        <f>$D26-$C26</f>
        <v/>
      </c>
      <c r="F26" s="18" t="inlineStr">
        <is>
          <t>Lenguaje coloquial del agente. TAX-010/META-007 fallan en 15/15.</t>
        </is>
      </c>
    </row>
    <row r="27">
      <c r="B27" s="17" t="inlineStr">
        <is>
          <t>C_TABLAS_PERDIDAS</t>
        </is>
      </c>
      <c r="C27" s="16">
        <f>SUMIFS('02_Ejecucion_V0'!$J$2:$J$51,'01_Banco_preguntas'!$B$2:$B$51,$B27)</f>
        <v/>
      </c>
      <c r="D27" s="16">
        <f>SUMIFS('03_Ejecucion_V1'!$J$2:$J$51,'01_Banco_preguntas'!$B$2:$B$51,$B27)</f>
        <v/>
      </c>
      <c r="E27" s="16">
        <f>$D27-$C27</f>
        <v/>
      </c>
      <c r="F27" s="18" t="inlineStr">
        <is>
          <t>Datos en tablas y capturas que la extraccion perdio. 17 reglas SIN_EVIDENCIA.</t>
        </is>
      </c>
    </row>
    <row r="28">
      <c r="B28" s="17" t="inlineStr">
        <is>
          <t>D_TRAMPA</t>
        </is>
      </c>
      <c r="C28" s="16">
        <f>SUMIFS('02_Ejecucion_V0'!$J$2:$J$51,'01_Banco_preguntas'!$B$2:$B$51,$B28)</f>
        <v/>
      </c>
      <c r="D28" s="16">
        <f>SUMIFS('03_Ejecucion_V1'!$J$2:$J$51,'01_Banco_preguntas'!$B$2:$B$51,$B28)</f>
        <v/>
      </c>
      <c r="E28" s="16">
        <f>$D28-$C28</f>
        <v/>
      </c>
      <c r="F28" s="18" t="inlineStr">
        <is>
          <t>Respuesta correcta = negativa o "no consta". Detecta invencion.</t>
        </is>
      </c>
    </row>
    <row r="29">
      <c r="B29" s="17" t="inlineStr">
        <is>
          <t>E_LITERAL</t>
        </is>
      </c>
      <c r="C29" s="16">
        <f>SUMIFS('02_Ejecucion_V0'!$J$2:$J$51,'01_Banco_preguntas'!$B$2:$B$51,$B29)</f>
        <v/>
      </c>
      <c r="D29" s="16">
        <f>SUMIFS('03_Ejecucion_V1'!$J$2:$J$51,'01_Banco_preguntas'!$B$2:$B$51,$B29)</f>
        <v/>
      </c>
      <c r="E29" s="16">
        <f>$D29-$C29</f>
        <v/>
      </c>
      <c r="F29" s="18" t="inlineStr">
        <is>
          <t>Control positivo: el dato si consta. Un fallo apunta a la recuperacion.</t>
        </is>
      </c>
    </row>
    <row r="30">
      <c r="B30" s="17" t="inlineStr">
        <is>
          <t>F_TRAZABILIDAD</t>
        </is>
      </c>
      <c r="C30" s="16">
        <f>SUMIFS('02_Ejecucion_V0'!$J$2:$J$51,'01_Banco_preguntas'!$B$2:$B$51,$B30)</f>
        <v/>
      </c>
      <c r="D30" s="16">
        <f>SUMIFS('03_Ejecucion_V1'!$J$2:$J$51,'01_Banco_preguntas'!$B$2:$B$51,$B30)</f>
        <v/>
      </c>
      <c r="E30" s="16">
        <f>$D30-$C30</f>
        <v/>
      </c>
      <c r="F30" s="18" t="inlineStr">
        <is>
          <t>Normativa de origen. META-009 solo lo cumplen 2 de 15 documentos.</t>
        </is>
      </c>
    </row>
    <row r="33">
      <c r="B33" s="3" t="inlineStr">
        <is>
          <t>4 · Cobertura y puntuacion por documento</t>
        </is>
      </c>
    </row>
    <row r="34">
      <c r="B34" s="10" t="inlineStr">
        <is>
          <t>document_id</t>
        </is>
      </c>
      <c r="C34" s="10" t="inlineStr">
        <is>
          <t>preguntas</t>
        </is>
      </c>
      <c r="D34" s="10" t="inlineStr">
        <is>
          <t>V0</t>
        </is>
      </c>
      <c r="E34" s="10" t="inlineStr">
        <is>
          <t>V1</t>
        </is>
      </c>
      <c r="F34" s="10" t="inlineStr">
        <is>
          <t>documento</t>
        </is>
      </c>
    </row>
    <row r="35">
      <c r="B35" s="23" t="inlineStr">
        <is>
          <t>000001052</t>
        </is>
      </c>
      <c r="C35" s="16">
        <f>COUNTIF('01_Banco_preguntas'!$J$2:$J$51,"D"&amp;$B35)</f>
        <v/>
      </c>
      <c r="D35" s="16">
        <f>SUMIFS('02_Ejecucion_V0'!$J$2:$J$51,'01_Banco_preguntas'!$J$2:$J$51,"D"&amp;$B35)</f>
        <v/>
      </c>
      <c r="E35" s="16">
        <f>SUMIFS('03_Ejecucion_V1'!$J$2:$J$51,'01_Banco_preguntas'!$J$2:$J$51,"D"&amp;$B35)</f>
        <v/>
      </c>
      <c r="F35" s="18" t="inlineStr">
        <is>
          <t>Bono Social</t>
        </is>
      </c>
    </row>
    <row r="36">
      <c r="B36" s="23" t="inlineStr">
        <is>
          <t>000001630</t>
        </is>
      </c>
      <c r="C36" s="16">
        <f>COUNTIF('01_Banco_preguntas'!$J$2:$J$51,"D"&amp;$B36)</f>
        <v/>
      </c>
      <c r="D36" s="16">
        <f>SUMIFS('02_Ejecucion_V0'!$J$2:$J$51,'01_Banco_preguntas'!$J$2:$J$51,"D"&amp;$B36)</f>
        <v/>
      </c>
      <c r="E36" s="16">
        <f>SUMIFS('03_Ejecucion_V1'!$J$2:$J$51,'01_Banco_preguntas'!$J$2:$J$51,"D"&amp;$B36)</f>
        <v/>
      </c>
      <c r="F36" s="18" t="inlineStr">
        <is>
          <t>Modificacion de potencias en electricidad</t>
        </is>
      </c>
    </row>
    <row r="37">
      <c r="B37" s="23" t="inlineStr">
        <is>
          <t>000001631</t>
        </is>
      </c>
      <c r="C37" s="16">
        <f>COUNTIF('01_Banco_preguntas'!$J$2:$J$51,"D"&amp;$B37)</f>
        <v/>
      </c>
      <c r="D37" s="16">
        <f>SUMIFS('02_Ejecucion_V0'!$J$2:$J$51,'01_Banco_preguntas'!$J$2:$J$51,"D"&amp;$B37)</f>
        <v/>
      </c>
      <c r="E37" s="16">
        <f>SUMIFS('03_Ejecucion_V1'!$J$2:$J$51,'01_Banco_preguntas'!$J$2:$J$51,"D"&amp;$B37)</f>
        <v/>
      </c>
      <c r="F37" s="18" t="inlineStr">
        <is>
          <t>Modificacion de tarifa y potencias en electricidad</t>
        </is>
      </c>
    </row>
    <row r="38">
      <c r="B38" s="23" t="inlineStr">
        <is>
          <t>000001633</t>
        </is>
      </c>
      <c r="C38" s="16">
        <f>COUNTIF('01_Banco_preguntas'!$J$2:$J$51,"D"&amp;$B38)</f>
        <v/>
      </c>
      <c r="D38" s="16">
        <f>SUMIFS('02_Ejecucion_V0'!$J$2:$J$51,'01_Banco_preguntas'!$J$2:$J$51,"D"&amp;$B38)</f>
        <v/>
      </c>
      <c r="E38" s="16">
        <f>SUMIFS('03_Ejecucion_V1'!$J$2:$J$51,'01_Banco_preguntas'!$J$2:$J$51,"D"&amp;$B38)</f>
        <v/>
      </c>
      <c r="F38" s="18" t="inlineStr">
        <is>
          <t>Cambio de titular en electricidad y gas</t>
        </is>
      </c>
    </row>
    <row r="39">
      <c r="B39" s="23" t="inlineStr">
        <is>
          <t>000001634</t>
        </is>
      </c>
      <c r="C39" s="16">
        <f>COUNTIF('01_Banco_preguntas'!$J$2:$J$51,"D"&amp;$B39)</f>
        <v/>
      </c>
      <c r="D39" s="16">
        <f>SUMIFS('02_Ejecucion_V0'!$J$2:$J$51,'01_Banco_preguntas'!$J$2:$J$51,"D"&amp;$B39)</f>
        <v/>
      </c>
      <c r="E39" s="16">
        <f>SUMIFS('03_Ejecucion_V1'!$J$2:$J$51,'01_Banco_preguntas'!$J$2:$J$51,"D"&amp;$B39)</f>
        <v/>
      </c>
      <c r="F39" s="18" t="inlineStr">
        <is>
          <t>Modificacion de producto</t>
        </is>
      </c>
    </row>
    <row r="40">
      <c r="B40" s="23" t="inlineStr">
        <is>
          <t>000004627</t>
        </is>
      </c>
      <c r="C40" s="16">
        <f>COUNTIF('01_Banco_preguntas'!$J$2:$J$51,"D"&amp;$B40)</f>
        <v/>
      </c>
      <c r="D40" s="16">
        <f>SUMIFS('02_Ejecucion_V0'!$J$2:$J$51,'01_Banco_preguntas'!$J$2:$J$51,"D"&amp;$B40)</f>
        <v/>
      </c>
      <c r="E40" s="16">
        <f>SUMIFS('03_Ejecucion_V1'!$J$2:$J$51,'01_Banco_preguntas'!$J$2:$J$51,"D"&amp;$B40)</f>
        <v/>
      </c>
      <c r="F40" s="18" t="inlineStr">
        <is>
          <t>Acuerdo Marco de Colaboracion EDE - Fenie Energia</t>
        </is>
      </c>
    </row>
    <row r="41">
      <c r="B41" s="23" t="inlineStr">
        <is>
          <t>000008614</t>
        </is>
      </c>
      <c r="C41" s="16">
        <f>COUNTIF('01_Banco_preguntas'!$J$2:$J$51,"D"&amp;$B41)</f>
        <v/>
      </c>
      <c r="D41" s="16">
        <f>SUMIFS('02_Ejecucion_V0'!$J$2:$J$51,'01_Banco_preguntas'!$J$2:$J$51,"D"&amp;$B41)</f>
        <v/>
      </c>
      <c r="E41" s="16">
        <f>SUMIFS('03_Ejecucion_V1'!$J$2:$J$51,'01_Banco_preguntas'!$J$2:$J$51,"D"&amp;$B41)</f>
        <v/>
      </c>
      <c r="F41" s="18" t="inlineStr">
        <is>
          <t>Modificacion de los Datos de Facturacion</t>
        </is>
      </c>
    </row>
    <row r="42">
      <c r="B42" s="23" t="inlineStr">
        <is>
          <t>000008616</t>
        </is>
      </c>
      <c r="C42" s="16">
        <f>COUNTIF('01_Banco_preguntas'!$J$2:$J$51,"D"&amp;$B42)</f>
        <v/>
      </c>
      <c r="D42" s="16">
        <f>SUMIFS('02_Ejecucion_V0'!$J$2:$J$51,'01_Banco_preguntas'!$J$2:$J$51,"D"&amp;$B42)</f>
        <v/>
      </c>
      <c r="E42" s="16">
        <f>SUMIFS('03_Ejecucion_V1'!$J$2:$J$51,'01_Banco_preguntas'!$J$2:$J$51,"D"&amp;$B42)</f>
        <v/>
      </c>
      <c r="F42" s="18" t="inlineStr">
        <is>
          <t>Modificacion de datos del representante</t>
        </is>
      </c>
    </row>
    <row r="43">
      <c r="B43" s="23" t="inlineStr">
        <is>
          <t>000008617</t>
        </is>
      </c>
      <c r="C43" s="16">
        <f>COUNTIF('01_Banco_preguntas'!$J$2:$J$51,"D"&amp;$B43)</f>
        <v/>
      </c>
      <c r="D43" s="16">
        <f>SUMIFS('02_Ejecucion_V0'!$J$2:$J$51,'01_Banco_preguntas'!$J$2:$J$51,"D"&amp;$B43)</f>
        <v/>
      </c>
      <c r="E43" s="16">
        <f>SUMIFS('03_Ejecucion_V1'!$J$2:$J$51,'01_Banco_preguntas'!$J$2:$J$51,"D"&amp;$B43)</f>
        <v/>
      </c>
      <c r="F43" s="18" t="inlineStr">
        <is>
          <t>Modificacion de Datos de Contacto del Punto de Suministro</t>
        </is>
      </c>
    </row>
    <row r="44">
      <c r="B44" s="23" t="inlineStr">
        <is>
          <t>000008618</t>
        </is>
      </c>
      <c r="C44" s="16">
        <f>COUNTIF('01_Banco_preguntas'!$J$2:$J$51,"D"&amp;$B44)</f>
        <v/>
      </c>
      <c r="D44" s="16">
        <f>SUMIFS('02_Ejecucion_V0'!$J$2:$J$51,'01_Banco_preguntas'!$J$2:$J$51,"D"&amp;$B44)</f>
        <v/>
      </c>
      <c r="E44" s="16">
        <f>SUMIFS('03_Ejecucion_V1'!$J$2:$J$51,'01_Banco_preguntas'!$J$2:$J$51,"D"&amp;$B44)</f>
        <v/>
      </c>
      <c r="F44" s="18" t="inlineStr">
        <is>
          <t>Modificacion de Remesa Fija</t>
        </is>
      </c>
    </row>
    <row r="45">
      <c r="B45" s="23" t="inlineStr">
        <is>
          <t>000008619</t>
        </is>
      </c>
      <c r="C45" s="16">
        <f>COUNTIF('01_Banco_preguntas'!$J$2:$J$51,"D"&amp;$B45)</f>
        <v/>
      </c>
      <c r="D45" s="16">
        <f>SUMIFS('02_Ejecucion_V0'!$J$2:$J$51,'01_Banco_preguntas'!$J$2:$J$51,"D"&amp;$B45)</f>
        <v/>
      </c>
      <c r="E45" s="16">
        <f>SUMIFS('03_Ejecucion_V1'!$J$2:$J$51,'01_Banco_preguntas'!$J$2:$J$51,"D"&amp;$B45)</f>
        <v/>
      </c>
      <c r="F45" s="18" t="inlineStr">
        <is>
          <t>Modificacion de Datos de Contrato</t>
        </is>
      </c>
    </row>
    <row r="46">
      <c r="B46" s="23" t="inlineStr">
        <is>
          <t>000008620</t>
        </is>
      </c>
      <c r="C46" s="16">
        <f>COUNTIF('01_Banco_preguntas'!$J$2:$J$51,"D"&amp;$B46)</f>
        <v/>
      </c>
      <c r="D46" s="16">
        <f>SUMIFS('02_Ejecucion_V0'!$J$2:$J$51,'01_Banco_preguntas'!$J$2:$J$51,"D"&amp;$B46)</f>
        <v/>
      </c>
      <c r="E46" s="16">
        <f>SUMIFS('03_Ejecucion_V1'!$J$2:$J$51,'01_Banco_preguntas'!$J$2:$J$51,"D"&amp;$B46)</f>
        <v/>
      </c>
      <c r="F46" s="18" t="inlineStr">
        <is>
          <t>Monedero Solar</t>
        </is>
      </c>
    </row>
    <row r="47">
      <c r="B47" s="23" t="inlineStr">
        <is>
          <t>000008621</t>
        </is>
      </c>
      <c r="C47" s="16">
        <f>COUNTIF('01_Banco_preguntas'!$J$2:$J$51,"D"&amp;$B47)</f>
        <v/>
      </c>
      <c r="D47" s="16">
        <f>SUMIFS('02_Ejecucion_V0'!$J$2:$J$51,'01_Banco_preguntas'!$J$2:$J$51,"D"&amp;$B47)</f>
        <v/>
      </c>
      <c r="E47" s="16">
        <f>SUMIFS('03_Ejecucion_V1'!$J$2:$J$51,'01_Banco_preguntas'!$J$2:$J$51,"D"&amp;$B47)</f>
        <v/>
      </c>
      <c r="F47" s="18" t="inlineStr">
        <is>
          <t>Modificacion de autoconsumo</t>
        </is>
      </c>
    </row>
    <row r="48">
      <c r="B48" s="23" t="inlineStr">
        <is>
          <t>000008622</t>
        </is>
      </c>
      <c r="C48" s="16">
        <f>COUNTIF('01_Banco_preguntas'!$J$2:$J$51,"D"&amp;$B48)</f>
        <v/>
      </c>
      <c r="D48" s="16">
        <f>SUMIFS('02_Ejecucion_V0'!$J$2:$J$51,'01_Banco_preguntas'!$J$2:$J$51,"D"&amp;$B48)</f>
        <v/>
      </c>
      <c r="E48" s="16">
        <f>SUMIFS('03_Ejecucion_V1'!$J$2:$J$51,'01_Banco_preguntas'!$J$2:$J$51,"D"&amp;$B48)</f>
        <v/>
      </c>
      <c r="F48" s="18" t="inlineStr">
        <is>
          <t>Modificacion de Maximetro</t>
        </is>
      </c>
    </row>
    <row r="49">
      <c r="B49" s="23" t="inlineStr">
        <is>
          <t>000008623</t>
        </is>
      </c>
      <c r="C49" s="16">
        <f>COUNTIF('01_Banco_preguntas'!$J$2:$J$51,"D"&amp;$B49)</f>
        <v/>
      </c>
      <c r="D49" s="16">
        <f>SUMIFS('02_Ejecucion_V0'!$J$2:$J$51,'01_Banco_preguntas'!$J$2:$J$51,"D"&amp;$B49)</f>
        <v/>
      </c>
      <c r="E49" s="16">
        <f>SUMIFS('03_Ejecucion_V1'!$J$2:$J$51,'01_Banco_preguntas'!$J$2:$J$51,"D"&amp;$B49)</f>
        <v/>
      </c>
      <c r="F49" s="18" t="inlineStr">
        <is>
          <t>Modificacion de Propiedad del Contador</t>
        </is>
      </c>
    </row>
    <row r="50">
      <c r="B50" s="19" t="inlineStr">
        <is>
          <t>TOTAL</t>
        </is>
      </c>
      <c r="C50" s="20">
        <f>SUM($C$35:$C$49)</f>
        <v/>
      </c>
      <c r="D50" s="24">
        <f>SUM($D$35:$D$49)</f>
        <v/>
      </c>
      <c r="E50" s="24">
        <f>SUM($E$35:$E$49)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2026-08-17T07:04:10Z</dcterms:created>
  <dcterms:modified xsi:type="dcterms:W3CDTF">2026-08-17T07:04:10Z</dcterms:modified>
</cp:coreProperties>
</file>